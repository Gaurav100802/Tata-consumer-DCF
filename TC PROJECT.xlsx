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y Project\"/>
    </mc:Choice>
  </mc:AlternateContent>
  <xr:revisionPtr revIDLastSave="0" documentId="13_ncr:1_{D57F7716-A2E3-4A2D-AD5C-ECBC2ABF5A22}" xr6:coauthVersionLast="47" xr6:coauthVersionMax="47" xr10:uidLastSave="{00000000-0000-0000-0000-000000000000}"/>
  <bookViews>
    <workbookView xWindow="-96" yWindow="-96" windowWidth="23232" windowHeight="12432" firstSheet="6" activeTab="14" xr2:uid="{AE719D64-1E5A-445F-95FD-5D27B625F2A1}"/>
  </bookViews>
  <sheets>
    <sheet name="Financials&gt;&gt;&gt;" sheetId="1" r:id="rId1"/>
    <sheet name="Historical Financial" sheetId="3" r:id="rId2"/>
    <sheet name="Ratio Analysis" sheetId="7" r:id="rId3"/>
    <sheet name="Forcasting " sheetId="8" r:id="rId4"/>
    <sheet name="Comman Size " sheetId="9" r:id="rId5"/>
    <sheet name="Data Sheet" sheetId="2" r:id="rId6"/>
    <sheet name="Cashflow Data " sheetId="6" r:id="rId7"/>
    <sheet name="Companies Data " sheetId="15" r:id="rId8"/>
    <sheet name="DCF" sheetId="10" r:id="rId9"/>
    <sheet name="Beta" sheetId="11" r:id="rId10"/>
    <sheet name="Market Return" sheetId="14" r:id="rId11"/>
    <sheet name="WACC" sheetId="13" r:id="rId12"/>
    <sheet name="Raw Financial " sheetId="16" r:id="rId13"/>
    <sheet name="Internsic Growth" sheetId="17" r:id="rId14"/>
    <sheet name="DCF Model " sheetId="19" r:id="rId15"/>
  </sheets>
  <externalReferences>
    <externalReference r:id="rId16"/>
  </externalReferences>
  <definedNames>
    <definedName name="_xlnm._FilterDatabase" localSheetId="9" hidden="1">Beta!$B$6:$D$111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9" l="1"/>
  <c r="E21" i="19"/>
  <c r="E34" i="19"/>
  <c r="E32" i="19"/>
  <c r="E31" i="19"/>
  <c r="E28" i="19"/>
  <c r="E24" i="19"/>
  <c r="E23" i="19"/>
  <c r="E22" i="19"/>
  <c r="F7" i="19"/>
  <c r="G7" i="19"/>
  <c r="H7" i="19"/>
  <c r="I7" i="19"/>
  <c r="J7" i="19"/>
  <c r="E7" i="19"/>
  <c r="F4" i="19"/>
  <c r="F6" i="19" s="1"/>
  <c r="F8" i="19" s="1"/>
  <c r="G10" i="19"/>
  <c r="H10" i="19" s="1"/>
  <c r="I10" i="19" s="1"/>
  <c r="J10" i="19" s="1"/>
  <c r="E17" i="19"/>
  <c r="J12" i="19" s="1"/>
  <c r="E15" i="19"/>
  <c r="E4" i="19"/>
  <c r="E6" i="19" s="1"/>
  <c r="E8" i="19" s="1"/>
  <c r="E2" i="19"/>
  <c r="F2" i="19" s="1"/>
  <c r="G2" i="19" s="1"/>
  <c r="H2" i="19" s="1"/>
  <c r="I2" i="19" s="1"/>
  <c r="J2" i="19" s="1"/>
  <c r="J63" i="17"/>
  <c r="J64" i="17"/>
  <c r="G61" i="17"/>
  <c r="H61" i="17"/>
  <c r="I61" i="17"/>
  <c r="J61" i="17"/>
  <c r="F61" i="17"/>
  <c r="J60" i="17"/>
  <c r="I60" i="17"/>
  <c r="H60" i="17"/>
  <c r="G60" i="17"/>
  <c r="F60" i="17"/>
  <c r="F59" i="17"/>
  <c r="G59" i="17"/>
  <c r="H59" i="17"/>
  <c r="I59" i="17"/>
  <c r="J59" i="17"/>
  <c r="F57" i="17"/>
  <c r="G57" i="17"/>
  <c r="H57" i="17"/>
  <c r="I57" i="17"/>
  <c r="J57" i="17"/>
  <c r="E57" i="17"/>
  <c r="J55" i="17"/>
  <c r="J54" i="17"/>
  <c r="J52" i="17"/>
  <c r="I52" i="17"/>
  <c r="H52" i="17"/>
  <c r="G52" i="17"/>
  <c r="F52" i="17"/>
  <c r="G51" i="17"/>
  <c r="H51" i="17"/>
  <c r="I51" i="17"/>
  <c r="J51" i="17"/>
  <c r="F51" i="17"/>
  <c r="F49" i="17"/>
  <c r="G49" i="17"/>
  <c r="H49" i="17"/>
  <c r="I49" i="17"/>
  <c r="J49" i="17"/>
  <c r="E49" i="17"/>
  <c r="J47" i="17"/>
  <c r="I47" i="17"/>
  <c r="H47" i="17"/>
  <c r="G47" i="17"/>
  <c r="F47" i="17"/>
  <c r="E47" i="17"/>
  <c r="J45" i="17"/>
  <c r="I45" i="17"/>
  <c r="H45" i="17"/>
  <c r="G45" i="17"/>
  <c r="F45" i="17"/>
  <c r="F44" i="17"/>
  <c r="G44" i="17"/>
  <c r="H44" i="17"/>
  <c r="I44" i="17"/>
  <c r="J44" i="17"/>
  <c r="E44" i="17"/>
  <c r="F42" i="17"/>
  <c r="G42" i="17"/>
  <c r="H42" i="17"/>
  <c r="I42" i="17"/>
  <c r="J42" i="17"/>
  <c r="E42" i="17"/>
  <c r="F40" i="17"/>
  <c r="G40" i="17"/>
  <c r="H40" i="17"/>
  <c r="I40" i="17"/>
  <c r="J40" i="17"/>
  <c r="E40" i="17"/>
  <c r="F38" i="17"/>
  <c r="G38" i="17"/>
  <c r="H38" i="17"/>
  <c r="I38" i="17"/>
  <c r="J38" i="17"/>
  <c r="E38" i="17"/>
  <c r="F37" i="17"/>
  <c r="G37" i="17"/>
  <c r="H37" i="17"/>
  <c r="I37" i="17"/>
  <c r="J37" i="17"/>
  <c r="E37" i="17"/>
  <c r="F35" i="17"/>
  <c r="G35" i="17"/>
  <c r="H35" i="17"/>
  <c r="I35" i="17"/>
  <c r="J35" i="17"/>
  <c r="E35" i="17"/>
  <c r="E30" i="19" l="1"/>
  <c r="E33" i="19" s="1"/>
  <c r="E35" i="19" s="1"/>
  <c r="E38" i="19" s="1"/>
  <c r="I12" i="19"/>
  <c r="G12" i="19"/>
  <c r="G4" i="19"/>
  <c r="F12" i="19"/>
  <c r="F13" i="19" s="1"/>
  <c r="H12" i="19"/>
  <c r="H4" i="19" l="1"/>
  <c r="G6" i="19"/>
  <c r="G8" i="19" s="1"/>
  <c r="G13" i="19" s="1"/>
  <c r="I4" i="19" l="1"/>
  <c r="H6" i="19"/>
  <c r="H8" i="19" s="1"/>
  <c r="H13" i="19" s="1"/>
  <c r="J4" i="19" l="1"/>
  <c r="J6" i="19" s="1"/>
  <c r="J8" i="19" s="1"/>
  <c r="J13" i="19" s="1"/>
  <c r="I6" i="19"/>
  <c r="I8" i="19" s="1"/>
  <c r="I13" i="19" s="1"/>
  <c r="F33" i="17" l="1"/>
  <c r="G33" i="17"/>
  <c r="H33" i="17"/>
  <c r="I33" i="17"/>
  <c r="J33" i="17"/>
  <c r="E33" i="17"/>
  <c r="F32" i="17"/>
  <c r="G32" i="17"/>
  <c r="H32" i="17"/>
  <c r="I32" i="17"/>
  <c r="J32" i="17"/>
  <c r="E32" i="17"/>
  <c r="E23" i="17"/>
  <c r="F23" i="17"/>
  <c r="G23" i="17"/>
  <c r="H23" i="17"/>
  <c r="I23" i="17"/>
  <c r="J23" i="17"/>
  <c r="E24" i="17"/>
  <c r="F24" i="17"/>
  <c r="G24" i="17"/>
  <c r="H24" i="17"/>
  <c r="I24" i="17"/>
  <c r="J24" i="17"/>
  <c r="E25" i="17"/>
  <c r="F25" i="17"/>
  <c r="G25" i="17"/>
  <c r="H25" i="17"/>
  <c r="I25" i="17"/>
  <c r="J25" i="17"/>
  <c r="E26" i="17"/>
  <c r="F26" i="17"/>
  <c r="G26" i="17"/>
  <c r="H26" i="17"/>
  <c r="I26" i="17"/>
  <c r="J26" i="17"/>
  <c r="E27" i="17"/>
  <c r="F27" i="17"/>
  <c r="G27" i="17"/>
  <c r="H27" i="17"/>
  <c r="I27" i="17"/>
  <c r="J27" i="17"/>
  <c r="E28" i="17"/>
  <c r="F28" i="17"/>
  <c r="G28" i="17"/>
  <c r="H28" i="17"/>
  <c r="I28" i="17"/>
  <c r="J28" i="17"/>
  <c r="E29" i="17"/>
  <c r="F29" i="17"/>
  <c r="G29" i="17"/>
  <c r="H29" i="17"/>
  <c r="I29" i="17"/>
  <c r="J29" i="17"/>
  <c r="E30" i="17"/>
  <c r="F30" i="17"/>
  <c r="G30" i="17"/>
  <c r="H30" i="17"/>
  <c r="I30" i="17"/>
  <c r="J30" i="17"/>
  <c r="E31" i="17"/>
  <c r="F31" i="17"/>
  <c r="G31" i="17"/>
  <c r="H31" i="17"/>
  <c r="I31" i="17"/>
  <c r="J31" i="17"/>
  <c r="F22" i="17"/>
  <c r="G22" i="17"/>
  <c r="H22" i="17"/>
  <c r="I22" i="17"/>
  <c r="J22" i="17"/>
  <c r="E22" i="17"/>
  <c r="B23" i="17"/>
  <c r="B24" i="17"/>
  <c r="B25" i="17"/>
  <c r="B26" i="17"/>
  <c r="B27" i="17"/>
  <c r="B28" i="17"/>
  <c r="B29" i="17"/>
  <c r="B30" i="17"/>
  <c r="B32" i="17"/>
  <c r="B33" i="17"/>
  <c r="B22" i="17"/>
  <c r="F19" i="17"/>
  <c r="F17" i="17"/>
  <c r="G17" i="17"/>
  <c r="G19" i="17" s="1"/>
  <c r="H17" i="17"/>
  <c r="I17" i="17"/>
  <c r="J17" i="17"/>
  <c r="E17" i="17"/>
  <c r="F14" i="17"/>
  <c r="G14" i="17"/>
  <c r="H14" i="17"/>
  <c r="I14" i="17"/>
  <c r="J14" i="17"/>
  <c r="F15" i="17"/>
  <c r="G15" i="17"/>
  <c r="H15" i="17"/>
  <c r="I15" i="17"/>
  <c r="J15" i="17"/>
  <c r="F16" i="17"/>
  <c r="G16" i="17"/>
  <c r="H16" i="17"/>
  <c r="I16" i="17"/>
  <c r="J16" i="17"/>
  <c r="E15" i="17"/>
  <c r="E16" i="17"/>
  <c r="E14" i="17"/>
  <c r="B15" i="17"/>
  <c r="B16" i="17"/>
  <c r="B14" i="17"/>
  <c r="F10" i="17"/>
  <c r="G10" i="17"/>
  <c r="H10" i="17"/>
  <c r="H19" i="17" s="1"/>
  <c r="I10" i="17"/>
  <c r="J10" i="17"/>
  <c r="E10" i="17"/>
  <c r="F9" i="17"/>
  <c r="G9" i="17"/>
  <c r="H9" i="17"/>
  <c r="I9" i="17"/>
  <c r="J9" i="17"/>
  <c r="E9" i="17"/>
  <c r="F8" i="17"/>
  <c r="G8" i="17"/>
  <c r="H8" i="17"/>
  <c r="I8" i="17"/>
  <c r="J8" i="17"/>
  <c r="E8" i="17"/>
  <c r="F7" i="17"/>
  <c r="G7" i="17"/>
  <c r="H7" i="17"/>
  <c r="I7" i="17"/>
  <c r="J7" i="17"/>
  <c r="E7" i="17"/>
  <c r="F6" i="17"/>
  <c r="G6" i="17"/>
  <c r="H6" i="17"/>
  <c r="I6" i="17"/>
  <c r="J6" i="17"/>
  <c r="E6" i="17"/>
  <c r="B9" i="17"/>
  <c r="B7" i="17"/>
  <c r="B8" i="17"/>
  <c r="B6" i="17"/>
  <c r="J2" i="17"/>
  <c r="F2" i="17"/>
  <c r="G2" i="17"/>
  <c r="H2" i="17"/>
  <c r="I2" i="17"/>
  <c r="E2" i="17"/>
  <c r="E32" i="16"/>
  <c r="F32" i="16"/>
  <c r="G32" i="16"/>
  <c r="H32" i="16"/>
  <c r="I32" i="16"/>
  <c r="J32" i="16"/>
  <c r="K32" i="16"/>
  <c r="L32" i="16"/>
  <c r="M32" i="16"/>
  <c r="D32" i="16"/>
  <c r="M3" i="16"/>
  <c r="E3" i="16"/>
  <c r="F3" i="16"/>
  <c r="G3" i="16"/>
  <c r="H3" i="16"/>
  <c r="I3" i="16"/>
  <c r="J3" i="16"/>
  <c r="K3" i="16"/>
  <c r="L3" i="16"/>
  <c r="D3" i="16"/>
  <c r="E19" i="17" l="1"/>
  <c r="J19" i="17"/>
  <c r="I19" i="17"/>
  <c r="K39" i="13" l="1"/>
  <c r="K37" i="13"/>
  <c r="K36" i="13"/>
  <c r="K34" i="13"/>
  <c r="K33" i="13"/>
  <c r="K20" i="13"/>
  <c r="E19" i="13"/>
  <c r="G15" i="13"/>
  <c r="K28" i="13" s="1"/>
  <c r="G14" i="13"/>
  <c r="E20" i="13" s="1"/>
  <c r="E21" i="13" s="1"/>
  <c r="H9" i="13"/>
  <c r="H10" i="13"/>
  <c r="K10" i="13" s="1"/>
  <c r="H11" i="13"/>
  <c r="K11" i="13" s="1"/>
  <c r="H12" i="13"/>
  <c r="K12" i="13" s="1"/>
  <c r="H8" i="13"/>
  <c r="K9" i="13"/>
  <c r="J8" i="13"/>
  <c r="J15" i="13" s="1"/>
  <c r="F12" i="13"/>
  <c r="F9" i="13"/>
  <c r="F10" i="13"/>
  <c r="F11" i="13"/>
  <c r="F8" i="13"/>
  <c r="C28" i="13" s="1"/>
  <c r="E12" i="13"/>
  <c r="I12" i="13" s="1"/>
  <c r="E9" i="13"/>
  <c r="I9" i="13" s="1"/>
  <c r="E10" i="13"/>
  <c r="I10" i="13" s="1"/>
  <c r="E11" i="13"/>
  <c r="I11" i="13" s="1"/>
  <c r="E8" i="13"/>
  <c r="C27" i="13" s="1"/>
  <c r="G6" i="14"/>
  <c r="G9" i="14" s="1"/>
  <c r="N8" i="11"/>
  <c r="K6" i="11" s="1"/>
  <c r="K12" i="11" s="1"/>
  <c r="C29" i="13" l="1"/>
  <c r="D27" i="13" s="1"/>
  <c r="K8" i="13"/>
  <c r="J14" i="13"/>
  <c r="I8" i="13"/>
  <c r="H14" i="13"/>
  <c r="H15" i="13"/>
  <c r="I15" i="13" l="1"/>
  <c r="I14" i="13"/>
  <c r="E27" i="13" s="1"/>
  <c r="D28" i="13"/>
  <c r="D29" i="13" s="1"/>
  <c r="K14" i="13"/>
  <c r="K15" i="13"/>
  <c r="K26" i="13" s="1"/>
  <c r="K27" i="13" l="1"/>
  <c r="E28" i="13"/>
  <c r="K29" i="13"/>
  <c r="K21" i="13" s="1"/>
  <c r="K22" i="13" s="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8" i="11"/>
  <c r="E38" i="9"/>
  <c r="F38" i="9"/>
  <c r="G38" i="9"/>
  <c r="H38" i="9"/>
  <c r="I38" i="9"/>
  <c r="J38" i="9"/>
  <c r="K38" i="9"/>
  <c r="L38" i="9"/>
  <c r="M38" i="9"/>
  <c r="E39" i="9"/>
  <c r="F39" i="9"/>
  <c r="G39" i="9"/>
  <c r="H39" i="9"/>
  <c r="I39" i="9"/>
  <c r="J39" i="9"/>
  <c r="K39" i="9"/>
  <c r="L39" i="9"/>
  <c r="M39" i="9"/>
  <c r="E40" i="9"/>
  <c r="F40" i="9"/>
  <c r="G40" i="9"/>
  <c r="H40" i="9"/>
  <c r="I40" i="9"/>
  <c r="J40" i="9"/>
  <c r="K40" i="9"/>
  <c r="L40" i="9"/>
  <c r="M40" i="9"/>
  <c r="D39" i="9"/>
  <c r="D40" i="9"/>
  <c r="D38" i="9"/>
  <c r="E37" i="9"/>
  <c r="F37" i="9"/>
  <c r="G37" i="9"/>
  <c r="H37" i="9"/>
  <c r="I37" i="9"/>
  <c r="J37" i="9"/>
  <c r="K37" i="9"/>
  <c r="L37" i="9"/>
  <c r="M37" i="9"/>
  <c r="E36" i="9"/>
  <c r="F36" i="9"/>
  <c r="G36" i="9"/>
  <c r="H36" i="9"/>
  <c r="I36" i="9"/>
  <c r="J36" i="9"/>
  <c r="K36" i="9"/>
  <c r="L36" i="9"/>
  <c r="M36" i="9"/>
  <c r="E35" i="9"/>
  <c r="F35" i="9"/>
  <c r="G35" i="9"/>
  <c r="H35" i="9"/>
  <c r="I35" i="9"/>
  <c r="J35" i="9"/>
  <c r="K35" i="9"/>
  <c r="L35" i="9"/>
  <c r="M35" i="9"/>
  <c r="D37" i="9"/>
  <c r="D35" i="9"/>
  <c r="D36" i="9"/>
  <c r="E34" i="9"/>
  <c r="F34" i="9"/>
  <c r="G34" i="9"/>
  <c r="H34" i="9"/>
  <c r="I34" i="9"/>
  <c r="J34" i="9"/>
  <c r="K34" i="9"/>
  <c r="L34" i="9"/>
  <c r="M34" i="9"/>
  <c r="D34" i="9"/>
  <c r="E33" i="9"/>
  <c r="F33" i="9"/>
  <c r="G33" i="9"/>
  <c r="H33" i="9"/>
  <c r="I33" i="9"/>
  <c r="J33" i="9"/>
  <c r="K33" i="9"/>
  <c r="L33" i="9"/>
  <c r="M33" i="9"/>
  <c r="D33" i="9"/>
  <c r="E28" i="9"/>
  <c r="F28" i="9"/>
  <c r="G28" i="9"/>
  <c r="H28" i="9"/>
  <c r="I28" i="9"/>
  <c r="J28" i="9"/>
  <c r="K28" i="9"/>
  <c r="L28" i="9"/>
  <c r="M28" i="9"/>
  <c r="E29" i="9"/>
  <c r="F29" i="9"/>
  <c r="G29" i="9"/>
  <c r="H29" i="9"/>
  <c r="I29" i="9"/>
  <c r="J29" i="9"/>
  <c r="K29" i="9"/>
  <c r="L29" i="9"/>
  <c r="M29" i="9"/>
  <c r="E30" i="9"/>
  <c r="F30" i="9"/>
  <c r="G30" i="9"/>
  <c r="H30" i="9"/>
  <c r="I30" i="9"/>
  <c r="J30" i="9"/>
  <c r="K30" i="9"/>
  <c r="L30" i="9"/>
  <c r="M30" i="9"/>
  <c r="E31" i="9"/>
  <c r="F31" i="9"/>
  <c r="G31" i="9"/>
  <c r="H31" i="9"/>
  <c r="I31" i="9"/>
  <c r="J31" i="9"/>
  <c r="K31" i="9"/>
  <c r="L31" i="9"/>
  <c r="M31" i="9"/>
  <c r="D29" i="9"/>
  <c r="D30" i="9"/>
  <c r="D31" i="9"/>
  <c r="D28" i="9"/>
  <c r="E27" i="9"/>
  <c r="F27" i="9"/>
  <c r="G27" i="9"/>
  <c r="H27" i="9"/>
  <c r="I27" i="9"/>
  <c r="J27" i="9"/>
  <c r="K27" i="9"/>
  <c r="L27" i="9"/>
  <c r="M27" i="9"/>
  <c r="D27" i="9"/>
  <c r="B40" i="9"/>
  <c r="B35" i="9"/>
  <c r="B36" i="9"/>
  <c r="B37" i="9"/>
  <c r="B38" i="9"/>
  <c r="B39" i="9"/>
  <c r="B34" i="9"/>
  <c r="B29" i="9"/>
  <c r="B30" i="9"/>
  <c r="B31" i="9"/>
  <c r="B28" i="9"/>
  <c r="M25" i="9"/>
  <c r="L25" i="9"/>
  <c r="K25" i="9"/>
  <c r="J25" i="9"/>
  <c r="I25" i="9"/>
  <c r="H25" i="9"/>
  <c r="G25" i="9"/>
  <c r="F25" i="9"/>
  <c r="E25" i="9"/>
  <c r="D25" i="9"/>
  <c r="E4" i="9"/>
  <c r="F4" i="9"/>
  <c r="G4" i="9"/>
  <c r="H4" i="9"/>
  <c r="I4" i="9"/>
  <c r="J4" i="9"/>
  <c r="K4" i="9"/>
  <c r="L4" i="9"/>
  <c r="M4" i="9"/>
  <c r="D4" i="9"/>
  <c r="B23" i="9"/>
  <c r="D7" i="9"/>
  <c r="E21" i="9"/>
  <c r="F21" i="9"/>
  <c r="G21" i="9"/>
  <c r="H21" i="9"/>
  <c r="I21" i="9"/>
  <c r="J21" i="9"/>
  <c r="K21" i="9"/>
  <c r="L21" i="9"/>
  <c r="M21" i="9"/>
  <c r="D21" i="9"/>
  <c r="E13" i="9"/>
  <c r="F13" i="9"/>
  <c r="G13" i="9"/>
  <c r="H13" i="9"/>
  <c r="I13" i="9"/>
  <c r="J13" i="9"/>
  <c r="K13" i="9"/>
  <c r="L13" i="9"/>
  <c r="M13" i="9"/>
  <c r="E14" i="9"/>
  <c r="F14" i="9"/>
  <c r="G14" i="9"/>
  <c r="H14" i="9"/>
  <c r="I14" i="9"/>
  <c r="J14" i="9"/>
  <c r="K14" i="9"/>
  <c r="L14" i="9"/>
  <c r="M14" i="9"/>
  <c r="E15" i="9"/>
  <c r="F15" i="9"/>
  <c r="G15" i="9"/>
  <c r="H15" i="9"/>
  <c r="I15" i="9"/>
  <c r="J15" i="9"/>
  <c r="K15" i="9"/>
  <c r="L15" i="9"/>
  <c r="M15" i="9"/>
  <c r="E16" i="9"/>
  <c r="F16" i="9"/>
  <c r="G16" i="9"/>
  <c r="H16" i="9"/>
  <c r="I16" i="9"/>
  <c r="J16" i="9"/>
  <c r="K16" i="9"/>
  <c r="L16" i="9"/>
  <c r="M16" i="9"/>
  <c r="E17" i="9"/>
  <c r="F17" i="9"/>
  <c r="G17" i="9"/>
  <c r="H17" i="9"/>
  <c r="I17" i="9"/>
  <c r="J17" i="9"/>
  <c r="K17" i="9"/>
  <c r="L17" i="9"/>
  <c r="M17" i="9"/>
  <c r="E18" i="9"/>
  <c r="F18" i="9"/>
  <c r="G18" i="9"/>
  <c r="H18" i="9"/>
  <c r="I18" i="9"/>
  <c r="J18" i="9"/>
  <c r="K18" i="9"/>
  <c r="L18" i="9"/>
  <c r="M18" i="9"/>
  <c r="E19" i="9"/>
  <c r="F19" i="9"/>
  <c r="G19" i="9"/>
  <c r="H19" i="9"/>
  <c r="I19" i="9"/>
  <c r="J19" i="9"/>
  <c r="K19" i="9"/>
  <c r="L19" i="9"/>
  <c r="M19" i="9"/>
  <c r="E20" i="9"/>
  <c r="F20" i="9"/>
  <c r="G20" i="9"/>
  <c r="H20" i="9"/>
  <c r="I20" i="9"/>
  <c r="J20" i="9"/>
  <c r="K20" i="9"/>
  <c r="L20" i="9"/>
  <c r="M20" i="9"/>
  <c r="D14" i="9"/>
  <c r="D15" i="9"/>
  <c r="D16" i="9"/>
  <c r="D17" i="9"/>
  <c r="D18" i="9"/>
  <c r="D19" i="9"/>
  <c r="D20" i="9"/>
  <c r="D13" i="9"/>
  <c r="E12" i="9"/>
  <c r="F12" i="9"/>
  <c r="G12" i="9"/>
  <c r="H12" i="9"/>
  <c r="I12" i="9"/>
  <c r="J12" i="9"/>
  <c r="K12" i="9"/>
  <c r="L12" i="9"/>
  <c r="M12" i="9"/>
  <c r="D12" i="9"/>
  <c r="D11" i="9"/>
  <c r="E11" i="9"/>
  <c r="F11" i="9"/>
  <c r="G11" i="9"/>
  <c r="H11" i="9"/>
  <c r="I11" i="9"/>
  <c r="J11" i="9"/>
  <c r="K11" i="9"/>
  <c r="L11" i="9"/>
  <c r="M11" i="9"/>
  <c r="E10" i="9"/>
  <c r="F10" i="9"/>
  <c r="G10" i="9"/>
  <c r="H10" i="9"/>
  <c r="I10" i="9"/>
  <c r="J10" i="9"/>
  <c r="K10" i="9"/>
  <c r="L10" i="9"/>
  <c r="M10" i="9"/>
  <c r="D10" i="9"/>
  <c r="E9" i="9"/>
  <c r="F9" i="9"/>
  <c r="G9" i="9"/>
  <c r="H9" i="9"/>
  <c r="I9" i="9"/>
  <c r="J9" i="9"/>
  <c r="K9" i="9"/>
  <c r="L9" i="9"/>
  <c r="M9" i="9"/>
  <c r="D9" i="9"/>
  <c r="E8" i="9"/>
  <c r="F8" i="9"/>
  <c r="G8" i="9"/>
  <c r="H8" i="9"/>
  <c r="I8" i="9"/>
  <c r="J8" i="9"/>
  <c r="K8" i="9"/>
  <c r="L8" i="9"/>
  <c r="M8" i="9"/>
  <c r="D8" i="9"/>
  <c r="E7" i="9"/>
  <c r="F7" i="9"/>
  <c r="G7" i="9"/>
  <c r="H7" i="9"/>
  <c r="I7" i="9"/>
  <c r="J7" i="9"/>
  <c r="K7" i="9"/>
  <c r="L7" i="9"/>
  <c r="M7" i="9"/>
  <c r="E6" i="9"/>
  <c r="F6" i="9"/>
  <c r="G6" i="9"/>
  <c r="H6" i="9"/>
  <c r="I6" i="9"/>
  <c r="J6" i="9"/>
  <c r="K6" i="9"/>
  <c r="L6" i="9"/>
  <c r="M6" i="9"/>
  <c r="D6" i="9"/>
  <c r="B19" i="9"/>
  <c r="B20" i="9"/>
  <c r="B7" i="9"/>
  <c r="B8" i="9"/>
  <c r="B9" i="9"/>
  <c r="B10" i="9"/>
  <c r="B11" i="9"/>
  <c r="B12" i="9"/>
  <c r="B13" i="9"/>
  <c r="B14" i="9"/>
  <c r="B15" i="9"/>
  <c r="B16" i="9"/>
  <c r="B17" i="9"/>
  <c r="B18" i="9"/>
  <c r="B6" i="9"/>
  <c r="B2" i="9"/>
  <c r="N7" i="11" l="1"/>
  <c r="N6" i="11"/>
  <c r="O14" i="8" l="1"/>
  <c r="O15" i="8"/>
  <c r="O16" i="8"/>
  <c r="O17" i="8"/>
  <c r="O18" i="8"/>
  <c r="N15" i="8"/>
  <c r="N16" i="8"/>
  <c r="N17" i="8"/>
  <c r="N18" i="8"/>
  <c r="N14" i="8"/>
  <c r="J14" i="8"/>
  <c r="J15" i="8"/>
  <c r="J16" i="8"/>
  <c r="J17" i="8"/>
  <c r="J18" i="8"/>
  <c r="I15" i="8"/>
  <c r="I16" i="8"/>
  <c r="I17" i="8"/>
  <c r="I18" i="8"/>
  <c r="I14" i="8"/>
  <c r="D15" i="8"/>
  <c r="D16" i="8"/>
  <c r="D17" i="8"/>
  <c r="D18" i="8"/>
  <c r="D14" i="8"/>
  <c r="E14" i="8"/>
  <c r="E15" i="8"/>
  <c r="O6" i="8"/>
  <c r="O7" i="8"/>
  <c r="O8" i="8"/>
  <c r="O9" i="8"/>
  <c r="O10" i="8"/>
  <c r="O11" i="8"/>
  <c r="O12" i="8"/>
  <c r="O13" i="8"/>
  <c r="O5" i="8"/>
  <c r="N13" i="8"/>
  <c r="N12" i="8"/>
  <c r="N10" i="8"/>
  <c r="N11" i="8"/>
  <c r="N9" i="8"/>
  <c r="N8" i="8"/>
  <c r="N7" i="8"/>
  <c r="N6" i="8"/>
  <c r="N5" i="8"/>
  <c r="N4" i="8"/>
  <c r="M5" i="8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L5" i="8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M4" i="8"/>
  <c r="I13" i="8"/>
  <c r="I12" i="8"/>
  <c r="I11" i="8"/>
  <c r="I10" i="8"/>
  <c r="I9" i="8"/>
  <c r="I8" i="8"/>
  <c r="I7" i="8"/>
  <c r="I6" i="8"/>
  <c r="I5" i="8"/>
  <c r="I4" i="8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D13" i="8"/>
  <c r="D12" i="8"/>
  <c r="D11" i="8"/>
  <c r="D10" i="8"/>
  <c r="D9" i="8"/>
  <c r="D8" i="8"/>
  <c r="D7" i="8"/>
  <c r="C4" i="8"/>
  <c r="D6" i="8"/>
  <c r="D5" i="8"/>
  <c r="D4" i="8"/>
  <c r="J13" i="8"/>
  <c r="J11" i="8"/>
  <c r="J6" i="8"/>
  <c r="G5" i="8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E6" i="8"/>
  <c r="E7" i="8"/>
  <c r="E10" i="8"/>
  <c r="E11" i="8"/>
  <c r="E13" i="8"/>
  <c r="C6" i="8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5" i="8"/>
  <c r="B18" i="8"/>
  <c r="B6" i="8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5" i="8"/>
  <c r="B2" i="3"/>
  <c r="O6" i="7"/>
  <c r="O7" i="7"/>
  <c r="O8" i="7"/>
  <c r="O9" i="7"/>
  <c r="O11" i="7"/>
  <c r="O12" i="7"/>
  <c r="O13" i="7"/>
  <c r="O14" i="7"/>
  <c r="O15" i="7"/>
  <c r="O17" i="7"/>
  <c r="O18" i="7"/>
  <c r="O21" i="7"/>
  <c r="O22" i="7"/>
  <c r="O23" i="7"/>
  <c r="O24" i="7"/>
  <c r="O25" i="7"/>
  <c r="O27" i="7"/>
  <c r="O28" i="7"/>
  <c r="O29" i="7"/>
  <c r="O30" i="7"/>
  <c r="O31" i="7"/>
  <c r="O33" i="7"/>
  <c r="O34" i="7"/>
  <c r="O35" i="7"/>
  <c r="O36" i="7"/>
  <c r="O38" i="7"/>
  <c r="O39" i="7"/>
  <c r="O40" i="7"/>
  <c r="O5" i="7"/>
  <c r="N27" i="7"/>
  <c r="N6" i="7"/>
  <c r="N7" i="7"/>
  <c r="N8" i="7"/>
  <c r="N9" i="7"/>
  <c r="N11" i="7"/>
  <c r="N12" i="7"/>
  <c r="N13" i="7"/>
  <c r="N14" i="7"/>
  <c r="N15" i="7"/>
  <c r="N17" i="7"/>
  <c r="N18" i="7"/>
  <c r="N21" i="7"/>
  <c r="N22" i="7"/>
  <c r="N23" i="7"/>
  <c r="N24" i="7"/>
  <c r="N25" i="7"/>
  <c r="N28" i="7"/>
  <c r="N29" i="7"/>
  <c r="N30" i="7"/>
  <c r="N31" i="7"/>
  <c r="N33" i="7"/>
  <c r="N34" i="7"/>
  <c r="N35" i="7"/>
  <c r="N36" i="7"/>
  <c r="N38" i="7"/>
  <c r="N39" i="7"/>
  <c r="N40" i="7"/>
  <c r="N5" i="7"/>
  <c r="D40" i="7"/>
  <c r="E40" i="7"/>
  <c r="F40" i="7"/>
  <c r="G40" i="7"/>
  <c r="H40" i="7"/>
  <c r="I40" i="7"/>
  <c r="J40" i="7"/>
  <c r="K40" i="7"/>
  <c r="L40" i="7"/>
  <c r="C40" i="7"/>
  <c r="D39" i="7"/>
  <c r="E39" i="7"/>
  <c r="F39" i="7"/>
  <c r="G39" i="7"/>
  <c r="H39" i="7"/>
  <c r="I39" i="7"/>
  <c r="J39" i="7"/>
  <c r="K39" i="7"/>
  <c r="L39" i="7"/>
  <c r="C39" i="7"/>
  <c r="C38" i="7"/>
  <c r="D38" i="7"/>
  <c r="E38" i="7"/>
  <c r="F38" i="7"/>
  <c r="G38" i="7"/>
  <c r="H38" i="7"/>
  <c r="I38" i="7"/>
  <c r="J38" i="7"/>
  <c r="K38" i="7"/>
  <c r="L38" i="7"/>
  <c r="D36" i="7"/>
  <c r="E36" i="7"/>
  <c r="F36" i="7"/>
  <c r="G36" i="7"/>
  <c r="H36" i="7"/>
  <c r="I36" i="7"/>
  <c r="J36" i="7"/>
  <c r="K36" i="7"/>
  <c r="L36" i="7"/>
  <c r="C36" i="7"/>
  <c r="D35" i="7"/>
  <c r="E35" i="7"/>
  <c r="F35" i="7"/>
  <c r="G35" i="7"/>
  <c r="H35" i="7"/>
  <c r="I35" i="7"/>
  <c r="J35" i="7"/>
  <c r="K35" i="7"/>
  <c r="L35" i="7"/>
  <c r="D34" i="7"/>
  <c r="E34" i="7"/>
  <c r="F34" i="7"/>
  <c r="G34" i="7"/>
  <c r="H34" i="7"/>
  <c r="I34" i="7"/>
  <c r="J34" i="7"/>
  <c r="K34" i="7"/>
  <c r="L34" i="7"/>
  <c r="C35" i="7"/>
  <c r="C33" i="7"/>
  <c r="C34" i="7"/>
  <c r="D33" i="7"/>
  <c r="E33" i="7"/>
  <c r="F33" i="7"/>
  <c r="G33" i="7"/>
  <c r="H33" i="7"/>
  <c r="I33" i="7"/>
  <c r="J33" i="7"/>
  <c r="K33" i="7"/>
  <c r="L33" i="7"/>
  <c r="D31" i="7"/>
  <c r="E31" i="7"/>
  <c r="F31" i="7"/>
  <c r="G31" i="7"/>
  <c r="H31" i="7"/>
  <c r="I31" i="7"/>
  <c r="J31" i="7"/>
  <c r="K31" i="7"/>
  <c r="L31" i="7"/>
  <c r="C31" i="7"/>
  <c r="D30" i="7"/>
  <c r="E30" i="7"/>
  <c r="F30" i="7"/>
  <c r="G30" i="7"/>
  <c r="H30" i="7"/>
  <c r="I30" i="7"/>
  <c r="J30" i="7"/>
  <c r="K30" i="7"/>
  <c r="L30" i="7"/>
  <c r="C30" i="7"/>
  <c r="D29" i="7"/>
  <c r="E29" i="7"/>
  <c r="F29" i="7"/>
  <c r="G29" i="7"/>
  <c r="H29" i="7"/>
  <c r="I29" i="7"/>
  <c r="J29" i="7"/>
  <c r="K29" i="7"/>
  <c r="L29" i="7"/>
  <c r="C29" i="7"/>
  <c r="D28" i="7"/>
  <c r="E28" i="7"/>
  <c r="F28" i="7"/>
  <c r="G28" i="7"/>
  <c r="H28" i="7"/>
  <c r="I28" i="7"/>
  <c r="J28" i="7"/>
  <c r="K28" i="7"/>
  <c r="L28" i="7"/>
  <c r="C28" i="7"/>
  <c r="D27" i="7"/>
  <c r="E27" i="7"/>
  <c r="F27" i="7"/>
  <c r="G27" i="7"/>
  <c r="H27" i="7"/>
  <c r="I27" i="7"/>
  <c r="J27" i="7"/>
  <c r="K27" i="7"/>
  <c r="L27" i="7"/>
  <c r="C27" i="7"/>
  <c r="D25" i="7"/>
  <c r="E25" i="7"/>
  <c r="F25" i="7"/>
  <c r="G25" i="7"/>
  <c r="H25" i="7"/>
  <c r="I25" i="7"/>
  <c r="J25" i="7"/>
  <c r="K25" i="7"/>
  <c r="L25" i="7"/>
  <c r="C25" i="7"/>
  <c r="D24" i="7"/>
  <c r="E24" i="7"/>
  <c r="F24" i="7"/>
  <c r="G24" i="7"/>
  <c r="H24" i="7"/>
  <c r="I24" i="7"/>
  <c r="J24" i="7"/>
  <c r="K24" i="7"/>
  <c r="L24" i="7"/>
  <c r="C24" i="7"/>
  <c r="D23" i="7"/>
  <c r="E23" i="7"/>
  <c r="F23" i="7"/>
  <c r="G23" i="7"/>
  <c r="H23" i="7"/>
  <c r="I23" i="7"/>
  <c r="J23" i="7"/>
  <c r="K23" i="7"/>
  <c r="L23" i="7"/>
  <c r="C23" i="7"/>
  <c r="D22" i="7"/>
  <c r="E22" i="7"/>
  <c r="F22" i="7"/>
  <c r="G22" i="7"/>
  <c r="H22" i="7"/>
  <c r="I22" i="7"/>
  <c r="J22" i="7"/>
  <c r="K22" i="7"/>
  <c r="L22" i="7"/>
  <c r="C22" i="7"/>
  <c r="D21" i="7"/>
  <c r="E21" i="7"/>
  <c r="F21" i="7"/>
  <c r="G21" i="7"/>
  <c r="H21" i="7"/>
  <c r="I21" i="7"/>
  <c r="J21" i="7"/>
  <c r="K21" i="7"/>
  <c r="L21" i="7"/>
  <c r="C21" i="7"/>
  <c r="L19" i="7"/>
  <c r="D19" i="7"/>
  <c r="E19" i="7"/>
  <c r="O19" i="7" s="1"/>
  <c r="F19" i="7"/>
  <c r="G19" i="7"/>
  <c r="H19" i="7"/>
  <c r="I19" i="7"/>
  <c r="J19" i="7"/>
  <c r="K19" i="7"/>
  <c r="C19" i="7"/>
  <c r="N19" i="7" s="1"/>
  <c r="D18" i="7"/>
  <c r="E18" i="7"/>
  <c r="F18" i="7"/>
  <c r="G18" i="7"/>
  <c r="H18" i="7"/>
  <c r="I18" i="7"/>
  <c r="J18" i="7"/>
  <c r="K18" i="7"/>
  <c r="L18" i="7"/>
  <c r="C18" i="7"/>
  <c r="D17" i="7"/>
  <c r="E17" i="7"/>
  <c r="F17" i="7"/>
  <c r="G17" i="7"/>
  <c r="H17" i="7"/>
  <c r="I17" i="7"/>
  <c r="J17" i="7"/>
  <c r="K17" i="7"/>
  <c r="L17" i="7"/>
  <c r="C17" i="7"/>
  <c r="D15" i="7"/>
  <c r="E15" i="7"/>
  <c r="F15" i="7"/>
  <c r="G15" i="7"/>
  <c r="H15" i="7"/>
  <c r="I15" i="7"/>
  <c r="J15" i="7"/>
  <c r="K15" i="7"/>
  <c r="L15" i="7"/>
  <c r="C15" i="7"/>
  <c r="D14" i="7"/>
  <c r="E14" i="7"/>
  <c r="F14" i="7"/>
  <c r="G14" i="7"/>
  <c r="H14" i="7"/>
  <c r="I14" i="7"/>
  <c r="J14" i="7"/>
  <c r="K14" i="7"/>
  <c r="L14" i="7"/>
  <c r="C14" i="7"/>
  <c r="D13" i="7"/>
  <c r="E13" i="7"/>
  <c r="F13" i="7"/>
  <c r="G13" i="7"/>
  <c r="H13" i="7"/>
  <c r="I13" i="7"/>
  <c r="J13" i="7"/>
  <c r="K13" i="7"/>
  <c r="L13" i="7"/>
  <c r="C13" i="7"/>
  <c r="D12" i="7"/>
  <c r="E12" i="7"/>
  <c r="F12" i="7"/>
  <c r="G12" i="7"/>
  <c r="H12" i="7"/>
  <c r="I12" i="7"/>
  <c r="J12" i="7"/>
  <c r="K12" i="7"/>
  <c r="L12" i="7"/>
  <c r="C12" i="7"/>
  <c r="L11" i="7"/>
  <c r="K11" i="7"/>
  <c r="J11" i="7"/>
  <c r="I11" i="7"/>
  <c r="H11" i="7"/>
  <c r="G11" i="7"/>
  <c r="F11" i="7"/>
  <c r="E11" i="7"/>
  <c r="C11" i="7"/>
  <c r="D11" i="7"/>
  <c r="E9" i="7"/>
  <c r="F9" i="7"/>
  <c r="G9" i="7"/>
  <c r="H9" i="7"/>
  <c r="I9" i="7"/>
  <c r="J9" i="7"/>
  <c r="K9" i="7"/>
  <c r="L9" i="7"/>
  <c r="D9" i="7"/>
  <c r="E8" i="7"/>
  <c r="F8" i="7"/>
  <c r="G8" i="7"/>
  <c r="H8" i="7"/>
  <c r="I8" i="7"/>
  <c r="J8" i="7"/>
  <c r="K8" i="7"/>
  <c r="L8" i="7"/>
  <c r="D8" i="7"/>
  <c r="E7" i="7"/>
  <c r="F7" i="7"/>
  <c r="G7" i="7"/>
  <c r="H7" i="7"/>
  <c r="I7" i="7"/>
  <c r="J7" i="7"/>
  <c r="K7" i="7"/>
  <c r="L7" i="7"/>
  <c r="D7" i="7"/>
  <c r="E6" i="7"/>
  <c r="F6" i="7"/>
  <c r="G6" i="7"/>
  <c r="H6" i="7"/>
  <c r="I6" i="7"/>
  <c r="J6" i="7"/>
  <c r="K6" i="7"/>
  <c r="L6" i="7"/>
  <c r="D6" i="7"/>
  <c r="D5" i="7"/>
  <c r="E5" i="7"/>
  <c r="F5" i="7"/>
  <c r="G5" i="7"/>
  <c r="H5" i="7"/>
  <c r="I5" i="7"/>
  <c r="J5" i="7"/>
  <c r="K5" i="7"/>
  <c r="L5" i="7"/>
  <c r="J12" i="8" l="1"/>
  <c r="J10" i="8"/>
  <c r="J9" i="8"/>
  <c r="J8" i="8"/>
  <c r="J7" i="8"/>
  <c r="J5" i="8"/>
  <c r="E12" i="8"/>
  <c r="E9" i="8"/>
  <c r="E8" i="8"/>
  <c r="E5" i="8"/>
  <c r="E17" i="8" l="1"/>
  <c r="E16" i="8"/>
  <c r="E18" i="8"/>
  <c r="B2" i="7" l="1"/>
  <c r="L3" i="7"/>
  <c r="K3" i="7"/>
  <c r="J3" i="7"/>
  <c r="I3" i="7"/>
  <c r="H3" i="7"/>
  <c r="G3" i="7"/>
  <c r="F3" i="7"/>
  <c r="E3" i="7"/>
  <c r="D3" i="7"/>
  <c r="C3" i="7"/>
  <c r="D132" i="3"/>
  <c r="E132" i="3"/>
  <c r="F132" i="3"/>
  <c r="G132" i="3"/>
  <c r="H132" i="3"/>
  <c r="I132" i="3"/>
  <c r="J132" i="3"/>
  <c r="K132" i="3"/>
  <c r="L132" i="3"/>
  <c r="C132" i="3"/>
  <c r="D130" i="3"/>
  <c r="E130" i="3"/>
  <c r="F130" i="3"/>
  <c r="G130" i="3"/>
  <c r="H130" i="3"/>
  <c r="I130" i="3"/>
  <c r="J130" i="3"/>
  <c r="K130" i="3"/>
  <c r="L130" i="3"/>
  <c r="C130" i="3"/>
  <c r="D121" i="3"/>
  <c r="E121" i="3"/>
  <c r="F121" i="3"/>
  <c r="G121" i="3"/>
  <c r="H121" i="3"/>
  <c r="I121" i="3"/>
  <c r="J121" i="3"/>
  <c r="K121" i="3"/>
  <c r="L121" i="3"/>
  <c r="D122" i="3"/>
  <c r="E122" i="3"/>
  <c r="F122" i="3"/>
  <c r="G122" i="3"/>
  <c r="H122" i="3"/>
  <c r="I122" i="3"/>
  <c r="J122" i="3"/>
  <c r="K122" i="3"/>
  <c r="L122" i="3"/>
  <c r="D123" i="3"/>
  <c r="E123" i="3"/>
  <c r="F123" i="3"/>
  <c r="G123" i="3"/>
  <c r="H123" i="3"/>
  <c r="I123" i="3"/>
  <c r="J123" i="3"/>
  <c r="K123" i="3"/>
  <c r="L123" i="3"/>
  <c r="D124" i="3"/>
  <c r="E124" i="3"/>
  <c r="F124" i="3"/>
  <c r="G124" i="3"/>
  <c r="H124" i="3"/>
  <c r="I124" i="3"/>
  <c r="J124" i="3"/>
  <c r="K124" i="3"/>
  <c r="L124" i="3"/>
  <c r="D125" i="3"/>
  <c r="E125" i="3"/>
  <c r="F125" i="3"/>
  <c r="G125" i="3"/>
  <c r="H125" i="3"/>
  <c r="I125" i="3"/>
  <c r="J125" i="3"/>
  <c r="K125" i="3"/>
  <c r="L125" i="3"/>
  <c r="D126" i="3"/>
  <c r="E126" i="3"/>
  <c r="F126" i="3"/>
  <c r="G126" i="3"/>
  <c r="H126" i="3"/>
  <c r="I126" i="3"/>
  <c r="J126" i="3"/>
  <c r="K126" i="3"/>
  <c r="L126" i="3"/>
  <c r="D127" i="3"/>
  <c r="E127" i="3"/>
  <c r="F127" i="3"/>
  <c r="G127" i="3"/>
  <c r="H127" i="3"/>
  <c r="I127" i="3"/>
  <c r="J127" i="3"/>
  <c r="K127" i="3"/>
  <c r="L127" i="3"/>
  <c r="D128" i="3"/>
  <c r="E128" i="3"/>
  <c r="F128" i="3"/>
  <c r="G128" i="3"/>
  <c r="H128" i="3"/>
  <c r="I128" i="3"/>
  <c r="J128" i="3"/>
  <c r="K128" i="3"/>
  <c r="L128" i="3"/>
  <c r="D129" i="3"/>
  <c r="E129" i="3"/>
  <c r="F129" i="3"/>
  <c r="G129" i="3"/>
  <c r="H129" i="3"/>
  <c r="I129" i="3"/>
  <c r="J129" i="3"/>
  <c r="K129" i="3"/>
  <c r="L129" i="3"/>
  <c r="C122" i="3"/>
  <c r="C123" i="3"/>
  <c r="C124" i="3"/>
  <c r="C125" i="3"/>
  <c r="C126" i="3"/>
  <c r="C127" i="3"/>
  <c r="C128" i="3"/>
  <c r="C129" i="3"/>
  <c r="C121" i="3"/>
  <c r="C105" i="3"/>
  <c r="D105" i="3"/>
  <c r="E105" i="3"/>
  <c r="F105" i="3"/>
  <c r="G105" i="3"/>
  <c r="H105" i="3"/>
  <c r="I105" i="3"/>
  <c r="J105" i="3"/>
  <c r="K105" i="3"/>
  <c r="L105" i="3"/>
  <c r="C106" i="3"/>
  <c r="D106" i="3"/>
  <c r="E106" i="3"/>
  <c r="F106" i="3"/>
  <c r="G106" i="3"/>
  <c r="H106" i="3"/>
  <c r="I106" i="3"/>
  <c r="J106" i="3"/>
  <c r="K106" i="3"/>
  <c r="L106" i="3"/>
  <c r="C107" i="3"/>
  <c r="D107" i="3"/>
  <c r="E107" i="3"/>
  <c r="F107" i="3"/>
  <c r="G107" i="3"/>
  <c r="H107" i="3"/>
  <c r="I107" i="3"/>
  <c r="J107" i="3"/>
  <c r="K107" i="3"/>
  <c r="L107" i="3"/>
  <c r="C108" i="3"/>
  <c r="D108" i="3"/>
  <c r="D118" i="3" s="1"/>
  <c r="E108" i="3"/>
  <c r="F108" i="3"/>
  <c r="G108" i="3"/>
  <c r="H108" i="3"/>
  <c r="I108" i="3"/>
  <c r="J108" i="3"/>
  <c r="K108" i="3"/>
  <c r="L108" i="3"/>
  <c r="C109" i="3"/>
  <c r="D109" i="3"/>
  <c r="E109" i="3"/>
  <c r="F109" i="3"/>
  <c r="F118" i="3" s="1"/>
  <c r="G109" i="3"/>
  <c r="H109" i="3"/>
  <c r="I109" i="3"/>
  <c r="J109" i="3"/>
  <c r="J118" i="3" s="1"/>
  <c r="K109" i="3"/>
  <c r="L109" i="3"/>
  <c r="C110" i="3"/>
  <c r="D110" i="3"/>
  <c r="E110" i="3"/>
  <c r="F110" i="3"/>
  <c r="G110" i="3"/>
  <c r="H110" i="3"/>
  <c r="I110" i="3"/>
  <c r="J110" i="3"/>
  <c r="K110" i="3"/>
  <c r="L110" i="3"/>
  <c r="C111" i="3"/>
  <c r="D111" i="3"/>
  <c r="E111" i="3"/>
  <c r="F111" i="3"/>
  <c r="G111" i="3"/>
  <c r="H111" i="3"/>
  <c r="I111" i="3"/>
  <c r="J111" i="3"/>
  <c r="K111" i="3"/>
  <c r="L111" i="3"/>
  <c r="C112" i="3"/>
  <c r="D112" i="3"/>
  <c r="E112" i="3"/>
  <c r="F112" i="3"/>
  <c r="G112" i="3"/>
  <c r="H112" i="3"/>
  <c r="I112" i="3"/>
  <c r="J112" i="3"/>
  <c r="K112" i="3"/>
  <c r="L112" i="3"/>
  <c r="C113" i="3"/>
  <c r="D113" i="3"/>
  <c r="E113" i="3"/>
  <c r="F113" i="3"/>
  <c r="G113" i="3"/>
  <c r="H113" i="3"/>
  <c r="I113" i="3"/>
  <c r="J113" i="3"/>
  <c r="K113" i="3"/>
  <c r="L113" i="3"/>
  <c r="C114" i="3"/>
  <c r="D114" i="3"/>
  <c r="E114" i="3"/>
  <c r="F114" i="3"/>
  <c r="G114" i="3"/>
  <c r="H114" i="3"/>
  <c r="I114" i="3"/>
  <c r="J114" i="3"/>
  <c r="K114" i="3"/>
  <c r="L114" i="3"/>
  <c r="C115" i="3"/>
  <c r="D115" i="3"/>
  <c r="E115" i="3"/>
  <c r="F115" i="3"/>
  <c r="G115" i="3"/>
  <c r="H115" i="3"/>
  <c r="I115" i="3"/>
  <c r="J115" i="3"/>
  <c r="K115" i="3"/>
  <c r="L115" i="3"/>
  <c r="C116" i="3"/>
  <c r="D116" i="3"/>
  <c r="E116" i="3"/>
  <c r="F116" i="3"/>
  <c r="G116" i="3"/>
  <c r="H116" i="3"/>
  <c r="I116" i="3"/>
  <c r="J116" i="3"/>
  <c r="K116" i="3"/>
  <c r="L116" i="3"/>
  <c r="C117" i="3"/>
  <c r="D117" i="3"/>
  <c r="E117" i="3"/>
  <c r="F117" i="3"/>
  <c r="G117" i="3"/>
  <c r="H117" i="3"/>
  <c r="I117" i="3"/>
  <c r="J117" i="3"/>
  <c r="K117" i="3"/>
  <c r="L117" i="3"/>
  <c r="C118" i="3"/>
  <c r="E118" i="3"/>
  <c r="G118" i="3"/>
  <c r="H118" i="3"/>
  <c r="I118" i="3"/>
  <c r="K118" i="3"/>
  <c r="L118" i="3"/>
  <c r="D102" i="3"/>
  <c r="E102" i="3"/>
  <c r="F102" i="3"/>
  <c r="G102" i="3"/>
  <c r="H102" i="3"/>
  <c r="I102" i="3"/>
  <c r="J102" i="3"/>
  <c r="K102" i="3"/>
  <c r="L102" i="3"/>
  <c r="C102" i="3"/>
  <c r="L101" i="3"/>
  <c r="K101" i="3"/>
  <c r="J101" i="3"/>
  <c r="I101" i="3"/>
  <c r="H101" i="3"/>
  <c r="G101" i="3"/>
  <c r="F101" i="3"/>
  <c r="E101" i="3"/>
  <c r="D101" i="3"/>
  <c r="L100" i="3"/>
  <c r="K100" i="3"/>
  <c r="J100" i="3"/>
  <c r="I100" i="3"/>
  <c r="H100" i="3"/>
  <c r="G100" i="3"/>
  <c r="F100" i="3"/>
  <c r="E100" i="3"/>
  <c r="D100" i="3"/>
  <c r="L99" i="3"/>
  <c r="K99" i="3"/>
  <c r="J99" i="3"/>
  <c r="I99" i="3"/>
  <c r="H99" i="3"/>
  <c r="G99" i="3"/>
  <c r="F99" i="3"/>
  <c r="E99" i="3"/>
  <c r="D99" i="3"/>
  <c r="L98" i="3"/>
  <c r="K98" i="3"/>
  <c r="J98" i="3"/>
  <c r="I98" i="3"/>
  <c r="H98" i="3"/>
  <c r="G98" i="3"/>
  <c r="F98" i="3"/>
  <c r="E98" i="3"/>
  <c r="D98" i="3"/>
  <c r="L97" i="3"/>
  <c r="K97" i="3"/>
  <c r="J97" i="3"/>
  <c r="I97" i="3"/>
  <c r="H97" i="3"/>
  <c r="G97" i="3"/>
  <c r="F97" i="3"/>
  <c r="E97" i="3"/>
  <c r="D97" i="3"/>
  <c r="L96" i="3"/>
  <c r="K96" i="3"/>
  <c r="J96" i="3"/>
  <c r="I96" i="3"/>
  <c r="H96" i="3"/>
  <c r="G96" i="3"/>
  <c r="F96" i="3"/>
  <c r="E96" i="3"/>
  <c r="D96" i="3"/>
  <c r="C96" i="3"/>
  <c r="C97" i="3"/>
  <c r="C98" i="3"/>
  <c r="C99" i="3"/>
  <c r="C100" i="3"/>
  <c r="C101" i="3"/>
  <c r="D95" i="3"/>
  <c r="E95" i="3"/>
  <c r="F95" i="3"/>
  <c r="G95" i="3"/>
  <c r="H95" i="3"/>
  <c r="I95" i="3"/>
  <c r="J95" i="3"/>
  <c r="K95" i="3"/>
  <c r="L95" i="3"/>
  <c r="C95" i="3"/>
  <c r="B96" i="3"/>
  <c r="B97" i="3"/>
  <c r="B98" i="3"/>
  <c r="B99" i="3"/>
  <c r="B100" i="3"/>
  <c r="B101" i="3"/>
  <c r="B95" i="3"/>
  <c r="D58" i="3"/>
  <c r="E58" i="3"/>
  <c r="F58" i="3"/>
  <c r="G58" i="3"/>
  <c r="G59" i="3" s="1"/>
  <c r="H58" i="3"/>
  <c r="I58" i="3"/>
  <c r="J58" i="3"/>
  <c r="K58" i="3"/>
  <c r="K59" i="3" s="1"/>
  <c r="L58" i="3"/>
  <c r="C58" i="3"/>
  <c r="C59" i="3" s="1"/>
  <c r="F59" i="3"/>
  <c r="J59" i="3"/>
  <c r="D59" i="3"/>
  <c r="E59" i="3"/>
  <c r="H59" i="3"/>
  <c r="I59" i="3"/>
  <c r="L59" i="3"/>
  <c r="D55" i="3"/>
  <c r="E55" i="3"/>
  <c r="F55" i="3"/>
  <c r="G55" i="3"/>
  <c r="H55" i="3"/>
  <c r="I55" i="3"/>
  <c r="J55" i="3"/>
  <c r="K55" i="3"/>
  <c r="L55" i="3"/>
  <c r="C55" i="3"/>
  <c r="B55" i="3"/>
  <c r="D61" i="3"/>
  <c r="D64" i="3" s="1"/>
  <c r="E61" i="3"/>
  <c r="E64" i="3" s="1"/>
  <c r="F61" i="3"/>
  <c r="F64" i="3" s="1"/>
  <c r="G61" i="3"/>
  <c r="H61" i="3"/>
  <c r="H64" i="3" s="1"/>
  <c r="I61" i="3"/>
  <c r="I64" i="3" s="1"/>
  <c r="J61" i="3"/>
  <c r="J64" i="3" s="1"/>
  <c r="K61" i="3"/>
  <c r="L61" i="3"/>
  <c r="L64" i="3" s="1"/>
  <c r="D62" i="3"/>
  <c r="E62" i="3"/>
  <c r="F62" i="3"/>
  <c r="G62" i="3"/>
  <c r="H62" i="3"/>
  <c r="I62" i="3"/>
  <c r="J62" i="3"/>
  <c r="K62" i="3"/>
  <c r="L62" i="3"/>
  <c r="D63" i="3"/>
  <c r="E63" i="3"/>
  <c r="F63" i="3"/>
  <c r="G63" i="3"/>
  <c r="G64" i="3" s="1"/>
  <c r="H63" i="3"/>
  <c r="I63" i="3"/>
  <c r="J63" i="3"/>
  <c r="K63" i="3"/>
  <c r="K64" i="3" s="1"/>
  <c r="L63" i="3"/>
  <c r="C62" i="3"/>
  <c r="C63" i="3"/>
  <c r="C61" i="3"/>
  <c r="C64" i="3" s="1"/>
  <c r="D56" i="3"/>
  <c r="E56" i="3"/>
  <c r="F56" i="3"/>
  <c r="G56" i="3"/>
  <c r="H56" i="3"/>
  <c r="I56" i="3"/>
  <c r="J56" i="3"/>
  <c r="K56" i="3"/>
  <c r="L56" i="3"/>
  <c r="D57" i="3"/>
  <c r="E57" i="3"/>
  <c r="F57" i="3"/>
  <c r="G57" i="3"/>
  <c r="H57" i="3"/>
  <c r="I57" i="3"/>
  <c r="J57" i="3"/>
  <c r="K57" i="3"/>
  <c r="L57" i="3"/>
  <c r="C57" i="3"/>
  <c r="C56" i="3"/>
  <c r="D49" i="3"/>
  <c r="E49" i="3"/>
  <c r="F49" i="3"/>
  <c r="G49" i="3"/>
  <c r="H49" i="3"/>
  <c r="I49" i="3"/>
  <c r="J49" i="3"/>
  <c r="K49" i="3"/>
  <c r="L49" i="3"/>
  <c r="D50" i="3"/>
  <c r="E50" i="3"/>
  <c r="F50" i="3"/>
  <c r="G50" i="3"/>
  <c r="H50" i="3"/>
  <c r="I50" i="3"/>
  <c r="J50" i="3"/>
  <c r="K50" i="3"/>
  <c r="L50" i="3"/>
  <c r="D51" i="3"/>
  <c r="E51" i="3"/>
  <c r="F51" i="3"/>
  <c r="G51" i="3"/>
  <c r="H51" i="3"/>
  <c r="I51" i="3"/>
  <c r="J51" i="3"/>
  <c r="K51" i="3"/>
  <c r="L51" i="3"/>
  <c r="D52" i="3"/>
  <c r="E52" i="3"/>
  <c r="F52" i="3"/>
  <c r="G52" i="3"/>
  <c r="H52" i="3"/>
  <c r="I52" i="3"/>
  <c r="J52" i="3"/>
  <c r="K52" i="3"/>
  <c r="L52" i="3"/>
  <c r="D53" i="3"/>
  <c r="E53" i="3"/>
  <c r="F53" i="3"/>
  <c r="G53" i="3"/>
  <c r="H53" i="3"/>
  <c r="I53" i="3"/>
  <c r="J53" i="3"/>
  <c r="K53" i="3"/>
  <c r="L53" i="3"/>
  <c r="C50" i="3"/>
  <c r="C51" i="3"/>
  <c r="C52" i="3"/>
  <c r="C53" i="3"/>
  <c r="C49" i="3"/>
  <c r="B62" i="3"/>
  <c r="B63" i="3"/>
  <c r="B61" i="3"/>
  <c r="B57" i="3"/>
  <c r="B58" i="3"/>
  <c r="B56" i="3"/>
  <c r="B50" i="3"/>
  <c r="B51" i="3"/>
  <c r="B52" i="3"/>
  <c r="B49" i="3"/>
  <c r="J66" i="3" l="1"/>
  <c r="F66" i="3"/>
  <c r="F69" i="3" s="1"/>
  <c r="I66" i="3"/>
  <c r="E66" i="3"/>
  <c r="E69" i="3" s="1"/>
  <c r="L66" i="3"/>
  <c r="L69" i="3" s="1"/>
  <c r="H66" i="3"/>
  <c r="H69" i="3" s="1"/>
  <c r="D66" i="3"/>
  <c r="D69" i="3" s="1"/>
  <c r="C66" i="3"/>
  <c r="C69" i="3" s="1"/>
  <c r="K66" i="3"/>
  <c r="G66" i="3"/>
  <c r="D68" i="3" l="1"/>
  <c r="L68" i="3"/>
  <c r="G68" i="3"/>
  <c r="G69" i="3"/>
  <c r="K68" i="3"/>
  <c r="K69" i="3"/>
  <c r="J68" i="3"/>
  <c r="J69" i="3"/>
  <c r="I68" i="3"/>
  <c r="I69" i="3"/>
  <c r="F68" i="3"/>
  <c r="H68" i="3"/>
  <c r="E68" i="3"/>
  <c r="C68" i="3"/>
  <c r="M18" i="3" l="1"/>
  <c r="M9" i="3"/>
  <c r="L36" i="3"/>
  <c r="M36" i="3" s="1"/>
  <c r="K36" i="3"/>
  <c r="J36" i="3"/>
  <c r="I36" i="3"/>
  <c r="H36" i="3"/>
  <c r="G36" i="3"/>
  <c r="F36" i="3"/>
  <c r="E36" i="3"/>
  <c r="D36" i="3"/>
  <c r="C36" i="3"/>
  <c r="M30" i="3"/>
  <c r="M31" i="3" s="1"/>
  <c r="D30" i="3"/>
  <c r="E30" i="3"/>
  <c r="F30" i="3"/>
  <c r="G30" i="3"/>
  <c r="G31" i="3" s="1"/>
  <c r="H30" i="3"/>
  <c r="I30" i="3"/>
  <c r="J30" i="3"/>
  <c r="K30" i="3"/>
  <c r="K31" i="3" s="1"/>
  <c r="L30" i="3"/>
  <c r="C30" i="3"/>
  <c r="M24" i="3"/>
  <c r="D24" i="3"/>
  <c r="E24" i="3"/>
  <c r="F24" i="3"/>
  <c r="G24" i="3"/>
  <c r="H24" i="3"/>
  <c r="I24" i="3"/>
  <c r="J24" i="3"/>
  <c r="K24" i="3"/>
  <c r="L24" i="3"/>
  <c r="C24" i="3"/>
  <c r="B24" i="3"/>
  <c r="M21" i="3"/>
  <c r="D21" i="3"/>
  <c r="E21" i="3"/>
  <c r="F21" i="3"/>
  <c r="G21" i="3"/>
  <c r="H21" i="3"/>
  <c r="I21" i="3"/>
  <c r="J21" i="3"/>
  <c r="K21" i="3"/>
  <c r="L21" i="3"/>
  <c r="C21" i="3"/>
  <c r="B21" i="3"/>
  <c r="M15" i="3"/>
  <c r="D15" i="3"/>
  <c r="E15" i="3"/>
  <c r="F15" i="3"/>
  <c r="G15" i="3"/>
  <c r="H15" i="3"/>
  <c r="I15" i="3"/>
  <c r="J15" i="3"/>
  <c r="K15" i="3"/>
  <c r="L15" i="3"/>
  <c r="C15" i="3"/>
  <c r="B15" i="3"/>
  <c r="E9" i="3"/>
  <c r="F9" i="3"/>
  <c r="G9" i="3"/>
  <c r="H9" i="3"/>
  <c r="I9" i="3"/>
  <c r="J9" i="3"/>
  <c r="K9" i="3"/>
  <c r="L9" i="3"/>
  <c r="D9" i="3"/>
  <c r="D10" i="3" s="1"/>
  <c r="C9" i="3"/>
  <c r="M6" i="3"/>
  <c r="D6" i="3"/>
  <c r="E6" i="3"/>
  <c r="E7" i="3" s="1"/>
  <c r="F6" i="3"/>
  <c r="G6" i="3"/>
  <c r="G12" i="3" s="1"/>
  <c r="G13" i="3" s="1"/>
  <c r="H6" i="3"/>
  <c r="H12" i="3" s="1"/>
  <c r="H13" i="3" s="1"/>
  <c r="I6" i="3"/>
  <c r="I7" i="3" s="1"/>
  <c r="J6" i="3"/>
  <c r="J12" i="3" s="1"/>
  <c r="J13" i="3" s="1"/>
  <c r="K6" i="3"/>
  <c r="K12" i="3" s="1"/>
  <c r="K13" i="3" s="1"/>
  <c r="L6" i="3"/>
  <c r="L12" i="3" s="1"/>
  <c r="L13" i="3" s="1"/>
  <c r="C6" i="3"/>
  <c r="B6" i="3"/>
  <c r="C12" i="3" l="1"/>
  <c r="K25" i="3"/>
  <c r="G25" i="3"/>
  <c r="M22" i="3"/>
  <c r="J25" i="3"/>
  <c r="C25" i="3"/>
  <c r="E25" i="3"/>
  <c r="M25" i="3"/>
  <c r="J31" i="3"/>
  <c r="F31" i="3"/>
  <c r="M27" i="3"/>
  <c r="M28" i="3" s="1"/>
  <c r="D12" i="3"/>
  <c r="D13" i="3" s="1"/>
  <c r="C22" i="3"/>
  <c r="I25" i="3"/>
  <c r="F25" i="3"/>
  <c r="M19" i="3"/>
  <c r="K22" i="3"/>
  <c r="G22" i="3"/>
  <c r="L25" i="3"/>
  <c r="H25" i="3"/>
  <c r="D25" i="3"/>
  <c r="C31" i="3"/>
  <c r="I31" i="3"/>
  <c r="E31" i="3"/>
  <c r="J22" i="3"/>
  <c r="F22" i="3"/>
  <c r="L31" i="3"/>
  <c r="H31" i="3"/>
  <c r="D31" i="3"/>
  <c r="M12" i="3"/>
  <c r="M13" i="3" s="1"/>
  <c r="C18" i="3"/>
  <c r="C27" i="3" s="1"/>
  <c r="C33" i="3" s="1"/>
  <c r="C13" i="3"/>
  <c r="F12" i="3"/>
  <c r="F13" i="3" s="1"/>
  <c r="I22" i="3"/>
  <c r="E22" i="3"/>
  <c r="L10" i="3"/>
  <c r="H10" i="3"/>
  <c r="J16" i="3"/>
  <c r="F16" i="3"/>
  <c r="I12" i="3"/>
  <c r="I18" i="3" s="1"/>
  <c r="I27" i="3" s="1"/>
  <c r="E12" i="3"/>
  <c r="E18" i="3" s="1"/>
  <c r="E27" i="3" s="1"/>
  <c r="L22" i="3"/>
  <c r="H22" i="3"/>
  <c r="D22" i="3"/>
  <c r="C16" i="3"/>
  <c r="I16" i="3"/>
  <c r="M33" i="3"/>
  <c r="M34" i="3" s="1"/>
  <c r="H18" i="3"/>
  <c r="H19" i="3" s="1"/>
  <c r="G18" i="3"/>
  <c r="G19" i="3" s="1"/>
  <c r="L18" i="3"/>
  <c r="L27" i="3" s="1"/>
  <c r="L28" i="3" s="1"/>
  <c r="K18" i="3"/>
  <c r="K19" i="3" s="1"/>
  <c r="J18" i="3"/>
  <c r="D7" i="3"/>
  <c r="J10" i="3"/>
  <c r="F10" i="3"/>
  <c r="C10" i="3"/>
  <c r="M7" i="3"/>
  <c r="I10" i="3"/>
  <c r="E10" i="3"/>
  <c r="E16" i="3"/>
  <c r="L7" i="3"/>
  <c r="G7" i="3"/>
  <c r="L16" i="3"/>
  <c r="H16" i="3"/>
  <c r="D16" i="3"/>
  <c r="J7" i="3"/>
  <c r="F7" i="3"/>
  <c r="K10" i="3"/>
  <c r="G10" i="3"/>
  <c r="M10" i="3"/>
  <c r="K16" i="3"/>
  <c r="G16" i="3"/>
  <c r="H7" i="3"/>
  <c r="M16" i="3"/>
  <c r="K7" i="3"/>
  <c r="I13" i="3" l="1"/>
  <c r="D18" i="3"/>
  <c r="D27" i="3" s="1"/>
  <c r="D28" i="3" s="1"/>
  <c r="I19" i="3"/>
  <c r="F18" i="3"/>
  <c r="F27" i="3" s="1"/>
  <c r="E19" i="3"/>
  <c r="L19" i="3"/>
  <c r="C34" i="3"/>
  <c r="C38" i="3"/>
  <c r="E13" i="3"/>
  <c r="H27" i="3"/>
  <c r="H28" i="3" s="1"/>
  <c r="M38" i="3"/>
  <c r="L33" i="3"/>
  <c r="C28" i="3"/>
  <c r="C19" i="3"/>
  <c r="K27" i="3"/>
  <c r="K33" i="3" s="1"/>
  <c r="D19" i="3"/>
  <c r="G27" i="3"/>
  <c r="G28" i="3" s="1"/>
  <c r="F19" i="3"/>
  <c r="J19" i="3"/>
  <c r="J27" i="3"/>
  <c r="E33" i="3"/>
  <c r="E28" i="3"/>
  <c r="I33" i="3"/>
  <c r="I28" i="3"/>
  <c r="D33" i="3" l="1"/>
  <c r="H33" i="3"/>
  <c r="H34" i="3"/>
  <c r="H38" i="3"/>
  <c r="D34" i="3"/>
  <c r="D38" i="3"/>
  <c r="L34" i="3"/>
  <c r="L38" i="3"/>
  <c r="M39" i="3" s="1"/>
  <c r="C41" i="3"/>
  <c r="C42" i="3" s="1"/>
  <c r="I34" i="3"/>
  <c r="I38" i="3"/>
  <c r="E34" i="3"/>
  <c r="E38" i="3"/>
  <c r="K34" i="3"/>
  <c r="K38" i="3"/>
  <c r="M44" i="3"/>
  <c r="K28" i="3"/>
  <c r="G33" i="3"/>
  <c r="J33" i="3"/>
  <c r="J28" i="3"/>
  <c r="F28" i="3"/>
  <c r="F33" i="3"/>
  <c r="C44" i="3" l="1"/>
  <c r="E41" i="3"/>
  <c r="E42" i="3" s="1"/>
  <c r="E39" i="3"/>
  <c r="D41" i="3"/>
  <c r="D42" i="3" s="1"/>
  <c r="D39" i="3"/>
  <c r="J34" i="3"/>
  <c r="J38" i="3"/>
  <c r="K39" i="3" s="1"/>
  <c r="F34" i="3"/>
  <c r="F38" i="3"/>
  <c r="G34" i="3"/>
  <c r="G38" i="3"/>
  <c r="H39" i="3" s="1"/>
  <c r="K41" i="3"/>
  <c r="K42" i="3" s="1"/>
  <c r="I41" i="3"/>
  <c r="I42" i="3" s="1"/>
  <c r="I39" i="3"/>
  <c r="L41" i="3"/>
  <c r="L42" i="3" s="1"/>
  <c r="L39" i="3"/>
  <c r="H41" i="3"/>
  <c r="H42" i="3" s="1"/>
  <c r="H44" i="3"/>
  <c r="J3" i="3"/>
  <c r="K3" i="3"/>
  <c r="L3" i="3"/>
  <c r="I3" i="3"/>
  <c r="D3" i="3"/>
  <c r="E3" i="3"/>
  <c r="F3" i="3"/>
  <c r="G3" i="3"/>
  <c r="H3" i="3"/>
  <c r="C3" i="3"/>
  <c r="I44" i="3" l="1"/>
  <c r="G41" i="3"/>
  <c r="G42" i="3" s="1"/>
  <c r="G39" i="3"/>
  <c r="J39" i="3"/>
  <c r="J41" i="3"/>
  <c r="J42" i="3" s="1"/>
  <c r="D44" i="3"/>
  <c r="F39" i="3"/>
  <c r="F41" i="3"/>
  <c r="F42" i="3" s="1"/>
  <c r="L44" i="3"/>
  <c r="K44" i="3"/>
  <c r="E44" i="3"/>
  <c r="E1" i="2"/>
  <c r="B6" i="2"/>
  <c r="F44" i="3" l="1"/>
  <c r="J44" i="3"/>
  <c r="G44" i="3"/>
</calcChain>
</file>

<file path=xl/sharedStrings.xml><?xml version="1.0" encoding="utf-8"?>
<sst xmlns="http://schemas.openxmlformats.org/spreadsheetml/2006/main" count="443" uniqueCount="346">
  <si>
    <t>Adjusted Equity Shares in Cr</t>
  </si>
  <si>
    <t>DERIVED:</t>
  </si>
  <si>
    <t>PRICE:</t>
  </si>
  <si>
    <t>Net Cash Flow</t>
  </si>
  <si>
    <t>Cash from Financing Activity</t>
  </si>
  <si>
    <t>Cash from Investing Activity</t>
  </si>
  <si>
    <t>Cash from Operating Activity</t>
  </si>
  <si>
    <t>Report Date</t>
  </si>
  <si>
    <t>CASH FLOW:</t>
  </si>
  <si>
    <t>Face value</t>
  </si>
  <si>
    <t>New Bonus Shares</t>
  </si>
  <si>
    <t>No. of Equity Shares</t>
  </si>
  <si>
    <t>Cash &amp; Bank</t>
  </si>
  <si>
    <t>Inventory</t>
  </si>
  <si>
    <t>Receivables</t>
  </si>
  <si>
    <t>Total</t>
  </si>
  <si>
    <t>Other Assets</t>
  </si>
  <si>
    <t>Investments</t>
  </si>
  <si>
    <t>Capital Work in Progress</t>
  </si>
  <si>
    <t>Net Block</t>
  </si>
  <si>
    <t>Other Liabilities</t>
  </si>
  <si>
    <t>Borrowings</t>
  </si>
  <si>
    <t>Reserves</t>
  </si>
  <si>
    <t>Equity Share Capital</t>
  </si>
  <si>
    <t>BALANCE SHEET</t>
  </si>
  <si>
    <t>Operating Profit</t>
  </si>
  <si>
    <t>Net profit</t>
  </si>
  <si>
    <t>Tax</t>
  </si>
  <si>
    <t>Profit before tax</t>
  </si>
  <si>
    <t>Interest</t>
  </si>
  <si>
    <t>Depreciation</t>
  </si>
  <si>
    <t>Other Income</t>
  </si>
  <si>
    <t>Expenses</t>
  </si>
  <si>
    <t>Sales</t>
  </si>
  <si>
    <t>Quarters</t>
  </si>
  <si>
    <t>Dividend Amount</t>
  </si>
  <si>
    <t>Other Expenses</t>
  </si>
  <si>
    <t>Selling and admin</t>
  </si>
  <si>
    <t>Employee Cost</t>
  </si>
  <si>
    <t>Other Mfr. Exp</t>
  </si>
  <si>
    <t>Power and Fuel</t>
  </si>
  <si>
    <t>Change in Inventory</t>
  </si>
  <si>
    <t>Raw Material Cost</t>
  </si>
  <si>
    <t>PROFIT &amp; LOSS</t>
  </si>
  <si>
    <t>Market Capitalization</t>
  </si>
  <si>
    <t>Current Price</t>
  </si>
  <si>
    <t>Face Value</t>
  </si>
  <si>
    <t>Number of shares</t>
  </si>
  <si>
    <t>META</t>
  </si>
  <si>
    <t>CURRENT VERSION</t>
  </si>
  <si>
    <t>PLEASE DO NOT MAKE ANY CHANGES TO THIS SHEET</t>
  </si>
  <si>
    <t>LATEST VERSION</t>
  </si>
  <si>
    <t>TATA CONSUMER PRODUCTS LTD</t>
  </si>
  <si>
    <t>COMPANY NAME</t>
  </si>
  <si>
    <t>YEAR</t>
  </si>
  <si>
    <t>LTM</t>
  </si>
  <si>
    <t>#</t>
  </si>
  <si>
    <t xml:space="preserve">Income Statement </t>
  </si>
  <si>
    <t>Sales Growth%</t>
  </si>
  <si>
    <t xml:space="preserve">Cost of Good Sold </t>
  </si>
  <si>
    <t xml:space="preserve">COGS % Sales </t>
  </si>
  <si>
    <t>-</t>
  </si>
  <si>
    <t>S$G Exp % Sales</t>
  </si>
  <si>
    <t xml:space="preserve">Gross Profit </t>
  </si>
  <si>
    <t>Gross Margin</t>
  </si>
  <si>
    <t xml:space="preserve">EBITDA </t>
  </si>
  <si>
    <t xml:space="preserve">EBITDA % Sales </t>
  </si>
  <si>
    <t xml:space="preserve">Depreciation % Sales </t>
  </si>
  <si>
    <t xml:space="preserve">Interest % Sales </t>
  </si>
  <si>
    <t xml:space="preserve">Earning After Tax </t>
  </si>
  <si>
    <t xml:space="preserve">EBT % Sales </t>
  </si>
  <si>
    <t xml:space="preserve">Tax </t>
  </si>
  <si>
    <t xml:space="preserve">Tax % Sales </t>
  </si>
  <si>
    <t xml:space="preserve">Net Profit </t>
  </si>
  <si>
    <t xml:space="preserve">Net Profit % Sales </t>
  </si>
  <si>
    <t xml:space="preserve">No.of Equity Share </t>
  </si>
  <si>
    <t>EPS</t>
  </si>
  <si>
    <t>EPS Growth</t>
  </si>
  <si>
    <t xml:space="preserve">Dividend Per Share </t>
  </si>
  <si>
    <t xml:space="preserve">Dividend Pay out Ratio </t>
  </si>
  <si>
    <t xml:space="preserve">Retain Earning </t>
  </si>
  <si>
    <t xml:space="preserve">Balance sheet </t>
  </si>
  <si>
    <t xml:space="preserve">Total Liabilities </t>
  </si>
  <si>
    <t xml:space="preserve">Total Non- current Assets </t>
  </si>
  <si>
    <t xml:space="preserve">Total Current Assets </t>
  </si>
  <si>
    <t>Total Assest</t>
  </si>
  <si>
    <t>Check</t>
  </si>
  <si>
    <t xml:space="preserve">CashFlow Statement </t>
  </si>
  <si>
    <t>Profit from operations</t>
  </si>
  <si>
    <t>Payables</t>
  </si>
  <si>
    <t>Working capital changes</t>
  </si>
  <si>
    <t>Direct taxes</t>
  </si>
  <si>
    <t>Other operating items</t>
  </si>
  <si>
    <t>Fixed assets purchased</t>
  </si>
  <si>
    <t>Fixed assets sold</t>
  </si>
  <si>
    <t>Investments purchased</t>
  </si>
  <si>
    <t>Investments sold</t>
  </si>
  <si>
    <t>Investment income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</si>
  <si>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</si>
  <si>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</si>
  <si>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</si>
  <si>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</si>
  <si>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</si>
  <si>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</si>
  <si>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</si>
  <si>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</si>
  <si>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</si>
  <si>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Proceeds from debentures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</si>
  <si>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</si>
  <si>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</si>
  <si>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</si>
  <si>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</si>
  <si>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</si>
  <si>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</si>
  <si>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</si>
  <si>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</si>
  <si>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</si>
  <si>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</si>
  <si>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 xml:space="preserve">Operating Activity </t>
  </si>
  <si>
    <t xml:space="preserve">Investment Activity </t>
  </si>
  <si>
    <t xml:space="preserve">Financing Activity </t>
  </si>
  <si>
    <t xml:space="preserve">Cash from Financing Activity </t>
  </si>
  <si>
    <t xml:space="preserve">Net Cash Flow </t>
  </si>
  <si>
    <t xml:space="preserve">Particular </t>
  </si>
  <si>
    <t>Sales Growth</t>
  </si>
  <si>
    <t>EBITDA Growth</t>
  </si>
  <si>
    <t>EBIT Growth</t>
  </si>
  <si>
    <t>Net Profit Growth</t>
  </si>
  <si>
    <t>Dividend Growth</t>
  </si>
  <si>
    <t>EBITDA Margin</t>
  </si>
  <si>
    <t>EBIT Margin</t>
  </si>
  <si>
    <t>Ebt Margin</t>
  </si>
  <si>
    <t xml:space="preserve">Net Profit Margin </t>
  </si>
  <si>
    <t>Sales Expenses% sales</t>
  </si>
  <si>
    <t>Depreciation % Sales</t>
  </si>
  <si>
    <t>OperatingIncome%Sales</t>
  </si>
  <si>
    <t>Return On Capital Employed</t>
  </si>
  <si>
    <t>Reatained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</si>
  <si>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</si>
  <si>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</si>
  <si>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</si>
  <si>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</si>
  <si>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</si>
  <si>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</si>
  <si>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Assest Turnover</t>
  </si>
  <si>
    <t>Capital Turnover Ratio</t>
  </si>
  <si>
    <t>Debtors Days</t>
  </si>
  <si>
    <t>Payable Days</t>
  </si>
  <si>
    <t>Investory Days</t>
  </si>
  <si>
    <t>Cash Conversion Cycle</t>
  </si>
  <si>
    <t>CFO/Sales</t>
  </si>
  <si>
    <t>CFO/Total Assets</t>
  </si>
  <si>
    <t>CFO/Total Debt</t>
  </si>
  <si>
    <t>Trend</t>
  </si>
  <si>
    <t>Mean</t>
  </si>
  <si>
    <t>Median</t>
  </si>
  <si>
    <t>Year Weight</t>
  </si>
  <si>
    <t>Year</t>
  </si>
  <si>
    <t xml:space="preserve">Sales </t>
  </si>
  <si>
    <t>Sales Forcasting -  Tata Consumer Products</t>
  </si>
  <si>
    <t>EBITDA Forcasting -  Tata Consumer Products</t>
  </si>
  <si>
    <t>EBITBA</t>
  </si>
  <si>
    <t>EPS Forcasting -  Tata Consumer Products</t>
  </si>
  <si>
    <t>Particulars</t>
  </si>
  <si>
    <t>EBITDA</t>
  </si>
  <si>
    <t xml:space="preserve">Total Libilities </t>
  </si>
  <si>
    <t>Total Assets</t>
  </si>
  <si>
    <t xml:space="preserve">Beta </t>
  </si>
  <si>
    <t>Weekly Return on Tata consumer Products</t>
  </si>
  <si>
    <t xml:space="preserve">Date </t>
  </si>
  <si>
    <t xml:space="preserve">Close Price </t>
  </si>
  <si>
    <t xml:space="preserve">Return </t>
  </si>
  <si>
    <t xml:space="preserve">Nifty Return </t>
  </si>
  <si>
    <t xml:space="preserve">Beta Drifting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</si>
  <si>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</si>
  <si>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</si>
  <si>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</si>
  <si>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</si>
  <si>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</si>
  <si>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</si>
  <si>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</si>
  <si>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</si>
  <si>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</si>
  <si>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</si>
  <si>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</si>
  <si>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</si>
  <si>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</si>
  <si>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</si>
  <si>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</si>
  <si>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</si>
  <si>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</si>
  <si>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</si>
  <si>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</si>
  <si>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</si>
  <si>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</si>
  <si>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</si>
  <si>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</si>
  <si>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</si>
  <si>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r>
      <t>Beta</t>
    </r>
    <r>
      <rPr>
        <vertAlign val="subscript"/>
        <sz val="11"/>
        <color theme="1"/>
        <rFont val="Arial"/>
        <family val="2"/>
      </rPr>
      <t xml:space="preserve"> 1 </t>
    </r>
  </si>
  <si>
    <r>
      <t>Beta</t>
    </r>
    <r>
      <rPr>
        <vertAlign val="subscript"/>
        <sz val="11"/>
        <color theme="1"/>
        <rFont val="Arial"/>
        <family val="2"/>
      </rPr>
      <t xml:space="preserve"> 2 </t>
    </r>
  </si>
  <si>
    <r>
      <t>Beta</t>
    </r>
    <r>
      <rPr>
        <vertAlign val="subscript"/>
        <sz val="11"/>
        <color theme="1"/>
        <rFont val="Arial"/>
        <family val="2"/>
      </rPr>
      <t xml:space="preserve"> 3 </t>
    </r>
  </si>
  <si>
    <t xml:space="preserve">Levered Beta </t>
  </si>
  <si>
    <t>Raw Beta weight</t>
  </si>
  <si>
    <t xml:space="preserve">Market Beta </t>
  </si>
  <si>
    <t>Market Beta weight</t>
  </si>
  <si>
    <t xml:space="preserve">Adjusted Beta </t>
  </si>
  <si>
    <t xml:space="preserve">Total Market return </t>
  </si>
  <si>
    <r>
      <t xml:space="preserve">1.28% </t>
    </r>
    <r>
      <rPr>
        <vertAlign val="superscript"/>
        <sz val="11"/>
        <color theme="1"/>
        <rFont val="Arial"/>
        <family val="2"/>
      </rPr>
      <t>1</t>
    </r>
  </si>
  <si>
    <t xml:space="preserve">Dividend Yied </t>
  </si>
  <si>
    <t xml:space="preserve">Avgrage Return </t>
  </si>
  <si>
    <t>Annual</t>
  </si>
  <si>
    <t>Return on Market :-</t>
  </si>
  <si>
    <t xml:space="preserve">Weighted Average Cost Of Capital </t>
  </si>
  <si>
    <t>Peer Comps</t>
  </si>
  <si>
    <t>Debt/</t>
  </si>
  <si>
    <t>Levered</t>
  </si>
  <si>
    <t>Unlevered</t>
  </si>
  <si>
    <t>Name Of the Company</t>
  </si>
  <si>
    <t>Country</t>
  </si>
  <si>
    <t xml:space="preserve">Total Debt </t>
  </si>
  <si>
    <t>Total Equity</t>
  </si>
  <si>
    <r>
      <t xml:space="preserve">Tax Rate </t>
    </r>
    <r>
      <rPr>
        <vertAlign val="superscript"/>
        <sz val="11"/>
        <color theme="1"/>
        <rFont val="Arial"/>
        <family val="2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</si>
  <si>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</si>
  <si>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</si>
  <si>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 xml:space="preserve"> </t>
    </r>
  </si>
  <si>
    <r>
      <t xml:space="preserve">Beta </t>
    </r>
    <r>
      <rPr>
        <vertAlign val="superscript"/>
        <sz val="11"/>
        <color theme="1"/>
        <rFont val="Arial"/>
        <family val="2"/>
      </rPr>
      <t>3</t>
    </r>
  </si>
  <si>
    <t xml:space="preserve">Tata consumer Product </t>
  </si>
  <si>
    <t>Hind. Unilever</t>
  </si>
  <si>
    <t>Nestle India</t>
  </si>
  <si>
    <t>Britannia Industries</t>
  </si>
  <si>
    <t xml:space="preserve">Dabur India </t>
  </si>
  <si>
    <t xml:space="preserve">India </t>
  </si>
  <si>
    <t>Tata Consumer</t>
  </si>
  <si>
    <t>S.No.</t>
  </si>
  <si>
    <t>Name</t>
  </si>
  <si>
    <t>CMP Rs.</t>
  </si>
  <si>
    <t>Mar Cap Rs.Cr.</t>
  </si>
  <si>
    <t>Debt Rs.Cr.</t>
  </si>
  <si>
    <t>Debt / Eq</t>
  </si>
  <si>
    <t>Britannia Inds.</t>
  </si>
  <si>
    <t>Dabur India</t>
  </si>
  <si>
    <t xml:space="preserve">Average </t>
  </si>
  <si>
    <t xml:space="preserve">Cost of Debt </t>
  </si>
  <si>
    <t xml:space="preserve">Pre-Tax cost of Debt </t>
  </si>
  <si>
    <t xml:space="preserve">Tax Rate </t>
  </si>
  <si>
    <t xml:space="preserve">Post-Tax cost of Debt </t>
  </si>
  <si>
    <t xml:space="preserve">Cost of Equity </t>
  </si>
  <si>
    <t xml:space="preserve">Risk Free Rate </t>
  </si>
  <si>
    <t>Equity Risk Premium</t>
  </si>
  <si>
    <t>Levered Beta 4</t>
  </si>
  <si>
    <t>Cost Of Equity</t>
  </si>
  <si>
    <t>Capital Structure</t>
  </si>
  <si>
    <t>Current</t>
  </si>
  <si>
    <t>Target</t>
  </si>
  <si>
    <t>Total Debt</t>
  </si>
  <si>
    <t>Total Capital</t>
  </si>
  <si>
    <t>Levered Beta</t>
  </si>
  <si>
    <t>Comps Median Unlevered Beta</t>
  </si>
  <si>
    <t>Target Debt/Equity</t>
  </si>
  <si>
    <t>Notes:</t>
  </si>
  <si>
    <t>1. Tax Rate considered as Marginal Tax Rate  for the country</t>
  </si>
  <si>
    <t>2. Levered Beta is based on 5 Year Monthly data</t>
  </si>
  <si>
    <t>3.UnLevered beta = Levered Beta/(1+(1-Tax Rate)* Debt/Equity)</t>
  </si>
  <si>
    <t>4.Levered beta = UnLevered Beta*(1+(1-Tax Rate)* Debt/Equity)</t>
  </si>
  <si>
    <t>Weighted Average Cost Of Capital</t>
  </si>
  <si>
    <t xml:space="preserve">Equity Weight </t>
  </si>
  <si>
    <t xml:space="preserve">Debt Weight </t>
  </si>
  <si>
    <t>WACC</t>
  </si>
  <si>
    <t>Equity Capital</t>
  </si>
  <si>
    <t>Long term Borrowings</t>
  </si>
  <si>
    <t>Short term Borrowings</t>
  </si>
  <si>
    <t>Lease Liabilities</t>
  </si>
  <si>
    <t>Other Borrowings</t>
  </si>
  <si>
    <t>Non controlling int</t>
  </si>
  <si>
    <t>Trade Payables</t>
  </si>
  <si>
    <t>Advance from Customers</t>
  </si>
  <si>
    <t>Other liability items</t>
  </si>
  <si>
    <t>Total Liabilities</t>
  </si>
  <si>
    <t>Land</t>
  </si>
  <si>
    <t>Building</t>
  </si>
  <si>
    <t>Estates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</si>
  <si>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</si>
  <si>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</si>
  <si>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</si>
  <si>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</si>
  <si>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</si>
  <si>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</si>
  <si>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</si>
  <si>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</si>
  <si>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</si>
  <si>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Inventories</t>
  </si>
  <si>
    <t>Cash Equivalents</t>
  </si>
  <si>
    <t>Loans n Advances</t>
  </si>
  <si>
    <t>Other asset items</t>
  </si>
  <si>
    <t>Borrowings -</t>
  </si>
  <si>
    <t>Other Liabilities -</t>
  </si>
  <si>
    <t>Fixed Assets -</t>
  </si>
  <si>
    <t>Other Assets -</t>
  </si>
  <si>
    <t>Trade receivables -</t>
  </si>
  <si>
    <t>Prov for Doubtful</t>
  </si>
  <si>
    <t>Calculation Of ROIC</t>
  </si>
  <si>
    <t>Current Assests</t>
  </si>
  <si>
    <t xml:space="preserve">Current Libilities </t>
  </si>
  <si>
    <t xml:space="preserve">Total Current Libilities </t>
  </si>
  <si>
    <t>Total Current  Assets</t>
  </si>
  <si>
    <t xml:space="preserve">  Net Working Capital </t>
  </si>
  <si>
    <t>Non Current Assets</t>
  </si>
  <si>
    <t>Net Non- Currents Assets</t>
  </si>
  <si>
    <t xml:space="preserve">Invested Capital </t>
  </si>
  <si>
    <t>EBIT</t>
  </si>
  <si>
    <t xml:space="preserve">ROIC </t>
  </si>
  <si>
    <t xml:space="preserve">Calculation of Reinvestment Rate </t>
  </si>
  <si>
    <t xml:space="preserve">Net Capex </t>
  </si>
  <si>
    <t xml:space="preserve">Change in working capital </t>
  </si>
  <si>
    <t xml:space="preserve">EBIT </t>
  </si>
  <si>
    <t xml:space="preserve">Marginal Tax </t>
  </si>
  <si>
    <t>EBIT(1-Tax)</t>
  </si>
  <si>
    <t xml:space="preserve">Reinvestment </t>
  </si>
  <si>
    <t xml:space="preserve">Reinvestment  Rate </t>
  </si>
  <si>
    <t xml:space="preserve">5year Average </t>
  </si>
  <si>
    <t>5years Median</t>
  </si>
  <si>
    <t xml:space="preserve">Calculation of Growth Rate </t>
  </si>
  <si>
    <t xml:space="preserve">Intrinsic Growth </t>
  </si>
  <si>
    <t xml:space="preserve"> </t>
  </si>
  <si>
    <t>Calculation of PV of FCFF</t>
  </si>
  <si>
    <t xml:space="preserve">Less Reinvestment Rate </t>
  </si>
  <si>
    <t>Free Cash Flow to Firm(FCFF)</t>
  </si>
  <si>
    <t xml:space="preserve">Mid Year Convention </t>
  </si>
  <si>
    <t xml:space="preserve">Discount Factor </t>
  </si>
  <si>
    <t xml:space="preserve">Expected Growth </t>
  </si>
  <si>
    <t xml:space="preserve">Terminal Growth </t>
  </si>
  <si>
    <t xml:space="preserve">WACC </t>
  </si>
  <si>
    <t>PV of FCFF</t>
  </si>
  <si>
    <t xml:space="preserve">Calculation of Terminal Value </t>
  </si>
  <si>
    <t>FCFF(n+1)</t>
  </si>
  <si>
    <t xml:space="preserve">Terminal Value </t>
  </si>
  <si>
    <t xml:space="preserve">Calculation of Equity Value </t>
  </si>
  <si>
    <t xml:space="preserve">PV of Terminal Value </t>
  </si>
  <si>
    <t>Value of Operating Assets</t>
  </si>
  <si>
    <t xml:space="preserve">Add: Cash </t>
  </si>
  <si>
    <t xml:space="preserve">Less: Debt </t>
  </si>
  <si>
    <t xml:space="preserve">Value of the Equity </t>
  </si>
  <si>
    <t xml:space="preserve">Number of Equity Share </t>
  </si>
  <si>
    <t xml:space="preserve">Equity Value per Share </t>
  </si>
  <si>
    <t xml:space="preserve">Share Price </t>
  </si>
  <si>
    <t>Discount/Premium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</si>
</sst>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0.00%;\ \-"/>
    <numFmt numFmtId="167" formatCode="&quot;₹&quot;\ #,##0.00;&quot;₹&quot;\ \(#,##0.00\);\ \-"/>
    <numFmt numFmtId="168" formatCode="&quot;₹&quot;\ #,##0.00"/>
    <numFmt numFmtId="169" formatCode="0.0%"/>
    <numFmt numFmtId="170" formatCode="0.00\x"/>
    <numFmt numFmtId="171" formatCode="0\ &quot;Days&quot;"/>
    <numFmt numFmtId="172" formatCode="yyyy\ \A"/>
    <numFmt numFmtId="173" formatCode="yyyy\ \F"/>
    <numFmt numFmtId="174" formatCode="yyyy/mm/dd\ "/>
    <numFmt numFmtId="181" formatCode="#,##0.00;\(#,##0.00\);\-"/>
    <numFmt numFmtId="183" formatCode="mmm/yy&quot;A&quot;"/>
    <numFmt numFmtId="184" formatCode="mmm/yy&quot;E&quot;"/>
    <numFmt numFmtId="185" formatCode="0.000"/>
  </numFmts>
  <fonts count="3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0" tint="-0.34998626667073579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i/>
      <sz val="11"/>
      <color theme="1"/>
      <name val="Arial"/>
      <family val="2"/>
    </font>
    <font>
      <vertAlign val="subscript"/>
      <sz val="11"/>
      <color theme="1"/>
      <name val="Arial"/>
      <family val="2"/>
    </font>
    <font>
      <i/>
      <sz val="9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color rgb="FF0000FF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FF"/>
      <name val="Arial"/>
      <family val="2"/>
    </font>
    <font>
      <sz val="9"/>
      <color theme="0"/>
      <name val="Arial"/>
      <family val="2"/>
    </font>
    <font>
      <b/>
      <sz val="11"/>
      <color theme="0" tint="-4.9989318521683403E-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rgb="FF002060"/>
      </top>
      <bottom style="thick">
        <color rgb="FF00206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5" fillId="2" borderId="0" applyNumberFormat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3" fillId="0" borderId="0" applyFont="0" applyFill="0" applyBorder="0" applyAlignment="0" applyProtection="0"/>
  </cellStyleXfs>
  <cellXfs count="187">
    <xf numFmtId="0" fontId="0" fillId="0" borderId="0" xfId="0"/>
    <xf numFmtId="43" fontId="0" fillId="0" borderId="0" xfId="1" applyFont="1" applyBorder="1"/>
    <xf numFmtId="164" fontId="0" fillId="0" borderId="0" xfId="1" applyNumberFormat="1" applyFont="1" applyBorder="1"/>
    <xf numFmtId="43" fontId="2" fillId="0" borderId="0" xfId="1" applyFont="1" applyBorder="1"/>
    <xf numFmtId="0" fontId="1" fillId="0" borderId="0" xfId="2"/>
    <xf numFmtId="43" fontId="1" fillId="0" borderId="0" xfId="1" applyFont="1" applyBorder="1"/>
    <xf numFmtId="165" fontId="3" fillId="0" borderId="0" xfId="1" applyNumberFormat="1" applyFont="1" applyFill="1" applyBorder="1"/>
    <xf numFmtId="165" fontId="4" fillId="3" borderId="0" xfId="2" applyNumberFormat="1" applyFont="1" applyFill="1" applyAlignment="1">
      <alignment horizontal="center"/>
    </xf>
    <xf numFmtId="165" fontId="4" fillId="3" borderId="0" xfId="1" applyNumberFormat="1" applyFont="1" applyFill="1" applyBorder="1"/>
    <xf numFmtId="0" fontId="7" fillId="4" borderId="0" xfId="0" applyFont="1" applyFill="1" applyAlignment="1">
      <alignment horizontal="left"/>
    </xf>
    <xf numFmtId="17" fontId="7" fillId="4" borderId="0" xfId="0" applyNumberFormat="1" applyFont="1" applyFill="1" applyAlignment="1">
      <alignment horizontal="right"/>
    </xf>
    <xf numFmtId="0" fontId="7" fillId="4" borderId="0" xfId="0" applyFont="1" applyFill="1" applyAlignment="1">
      <alignment horizontal="right"/>
    </xf>
    <xf numFmtId="0" fontId="8" fillId="0" borderId="0" xfId="0" applyFont="1"/>
    <xf numFmtId="0" fontId="8" fillId="5" borderId="0" xfId="0" applyFont="1" applyFill="1"/>
    <xf numFmtId="43" fontId="8" fillId="0" borderId="0" xfId="0" applyNumberFormat="1" applyFont="1"/>
    <xf numFmtId="167" fontId="8" fillId="0" borderId="0" xfId="0" applyNumberFormat="1" applyFont="1"/>
    <xf numFmtId="0" fontId="9" fillId="0" borderId="0" xfId="0" applyFont="1"/>
    <xf numFmtId="166" fontId="9" fillId="0" borderId="0" xfId="0" applyNumberFormat="1" applyFont="1" applyAlignment="1">
      <alignment horizontal="right"/>
    </xf>
    <xf numFmtId="166" fontId="9" fillId="0" borderId="0" xfId="0" applyNumberFormat="1" applyFont="1"/>
    <xf numFmtId="10" fontId="9" fillId="0" borderId="0" xfId="0" applyNumberFormat="1" applyFont="1"/>
    <xf numFmtId="0" fontId="10" fillId="0" borderId="0" xfId="0" applyFont="1"/>
    <xf numFmtId="167" fontId="8" fillId="0" borderId="0" xfId="0" applyNumberFormat="1" applyFont="1" applyAlignment="1">
      <alignment horizontal="right"/>
    </xf>
    <xf numFmtId="10" fontId="8" fillId="0" borderId="0" xfId="0" applyNumberFormat="1" applyFont="1"/>
    <xf numFmtId="10" fontId="8" fillId="0" borderId="0" xfId="0" applyNumberFormat="1" applyFont="1" applyAlignment="1">
      <alignment horizontal="right"/>
    </xf>
    <xf numFmtId="0" fontId="11" fillId="0" borderId="1" xfId="0" applyFont="1" applyBorder="1"/>
    <xf numFmtId="167" fontId="11" fillId="0" borderId="1" xfId="0" applyNumberFormat="1" applyFont="1" applyBorder="1"/>
    <xf numFmtId="0" fontId="11" fillId="5" borderId="0" xfId="0" applyFont="1" applyFill="1"/>
    <xf numFmtId="0" fontId="11" fillId="0" borderId="0" xfId="0" applyFont="1"/>
    <xf numFmtId="168" fontId="10" fillId="0" borderId="0" xfId="0" applyNumberFormat="1" applyFont="1"/>
    <xf numFmtId="0" fontId="11" fillId="0" borderId="2" xfId="0" applyFont="1" applyBorder="1"/>
    <xf numFmtId="167" fontId="11" fillId="0" borderId="2" xfId="0" applyNumberFormat="1" applyFont="1" applyBorder="1"/>
    <xf numFmtId="17" fontId="0" fillId="0" borderId="0" xfId="0" applyNumberFormat="1"/>
    <xf numFmtId="3" fontId="0" fillId="0" borderId="0" xfId="0" applyNumberFormat="1"/>
    <xf numFmtId="0" fontId="11" fillId="0" borderId="3" xfId="0" applyFont="1" applyBorder="1"/>
    <xf numFmtId="167" fontId="11" fillId="0" borderId="3" xfId="0" applyNumberFormat="1" applyFont="1" applyBorder="1"/>
    <xf numFmtId="0" fontId="12" fillId="0" borderId="0" xfId="0" applyFont="1"/>
    <xf numFmtId="169" fontId="0" fillId="0" borderId="0" xfId="5" applyNumberFormat="1" applyFont="1"/>
    <xf numFmtId="10" fontId="0" fillId="0" borderId="0" xfId="5" applyNumberFormat="1" applyFont="1"/>
    <xf numFmtId="2" fontId="0" fillId="0" borderId="0" xfId="0" applyNumberFormat="1"/>
    <xf numFmtId="10" fontId="0" fillId="0" borderId="0" xfId="5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10" fontId="15" fillId="0" borderId="0" xfId="5" applyNumberFormat="1" applyFont="1"/>
    <xf numFmtId="0" fontId="0" fillId="0" borderId="0" xfId="0" applyAlignment="1">
      <alignment horizontal="right"/>
    </xf>
    <xf numFmtId="172" fontId="0" fillId="0" borderId="0" xfId="0" applyNumberFormat="1"/>
    <xf numFmtId="0" fontId="16" fillId="4" borderId="0" xfId="0" applyFont="1" applyFill="1" applyAlignment="1">
      <alignment horizontal="left"/>
    </xf>
    <xf numFmtId="0" fontId="16" fillId="4" borderId="0" xfId="0" applyFont="1" applyFill="1" applyAlignment="1">
      <alignment horizontal="right"/>
    </xf>
    <xf numFmtId="169" fontId="0" fillId="0" borderId="0" xfId="5" applyNumberFormat="1" applyFont="1" applyAlignment="1">
      <alignment horizontal="right"/>
    </xf>
    <xf numFmtId="0" fontId="0" fillId="6" borderId="0" xfId="0" applyFill="1"/>
    <xf numFmtId="173" fontId="0" fillId="6" borderId="0" xfId="0" applyNumberFormat="1" applyFill="1"/>
    <xf numFmtId="169" fontId="0" fillId="6" borderId="0" xfId="5" applyNumberFormat="1" applyFont="1" applyFill="1"/>
    <xf numFmtId="10" fontId="0" fillId="6" borderId="0" xfId="5" applyNumberFormat="1" applyFont="1" applyFill="1"/>
    <xf numFmtId="0" fontId="15" fillId="0" borderId="4" xfId="0" applyFont="1" applyBorder="1"/>
    <xf numFmtId="10" fontId="15" fillId="0" borderId="4" xfId="5" applyNumberFormat="1" applyFont="1" applyBorder="1" applyAlignment="1">
      <alignment horizontal="right"/>
    </xf>
    <xf numFmtId="10" fontId="15" fillId="0" borderId="4" xfId="5" applyNumberFormat="1" applyFont="1" applyBorder="1"/>
    <xf numFmtId="0" fontId="0" fillId="0" borderId="4" xfId="0" applyBorder="1"/>
    <xf numFmtId="10" fontId="15" fillId="0" borderId="0" xfId="5" applyNumberFormat="1" applyFont="1" applyBorder="1" applyAlignment="1">
      <alignment horizontal="right"/>
    </xf>
    <xf numFmtId="10" fontId="15" fillId="0" borderId="0" xfId="5" applyNumberFormat="1" applyFont="1" applyBorder="1"/>
    <xf numFmtId="0" fontId="15" fillId="0" borderId="5" xfId="0" applyFont="1" applyBorder="1"/>
    <xf numFmtId="10" fontId="15" fillId="0" borderId="5" xfId="5" applyNumberFormat="1" applyFont="1" applyBorder="1" applyAlignment="1">
      <alignment horizontal="right"/>
    </xf>
    <xf numFmtId="10" fontId="15" fillId="0" borderId="5" xfId="5" applyNumberFormat="1" applyFont="1" applyBorder="1"/>
    <xf numFmtId="0" fontId="0" fillId="0" borderId="5" xfId="0" applyBorder="1"/>
    <xf numFmtId="10" fontId="15" fillId="0" borderId="5" xfId="0" applyNumberFormat="1" applyFont="1" applyBorder="1"/>
    <xf numFmtId="170" fontId="15" fillId="0" borderId="5" xfId="0" applyNumberFormat="1" applyFont="1" applyBorder="1"/>
    <xf numFmtId="170" fontId="15" fillId="0" borderId="4" xfId="0" applyNumberFormat="1" applyFont="1" applyBorder="1"/>
    <xf numFmtId="170" fontId="15" fillId="0" borderId="0" xfId="0" applyNumberFormat="1" applyFont="1"/>
    <xf numFmtId="171" fontId="15" fillId="0" borderId="4" xfId="0" applyNumberFormat="1" applyFont="1" applyBorder="1"/>
    <xf numFmtId="171" fontId="15" fillId="0" borderId="0" xfId="0" applyNumberFormat="1" applyFont="1"/>
    <xf numFmtId="171" fontId="15" fillId="0" borderId="5" xfId="0" applyNumberFormat="1" applyFont="1" applyBorder="1"/>
    <xf numFmtId="0" fontId="14" fillId="0" borderId="4" xfId="0" applyFont="1" applyBorder="1"/>
    <xf numFmtId="10" fontId="14" fillId="0" borderId="4" xfId="5" applyNumberFormat="1" applyFont="1" applyBorder="1"/>
    <xf numFmtId="10" fontId="14" fillId="0" borderId="0" xfId="5" applyNumberFormat="1" applyFont="1" applyBorder="1"/>
    <xf numFmtId="0" fontId="14" fillId="0" borderId="5" xfId="0" applyFont="1" applyBorder="1"/>
    <xf numFmtId="10" fontId="14" fillId="0" borderId="5" xfId="5" applyNumberFormat="1" applyFont="1" applyBorder="1"/>
    <xf numFmtId="0" fontId="17" fillId="0" borderId="0" xfId="0" applyFont="1"/>
    <xf numFmtId="0" fontId="17" fillId="0" borderId="6" xfId="0" applyFont="1" applyBorder="1"/>
    <xf numFmtId="0" fontId="18" fillId="0" borderId="6" xfId="0" applyFont="1" applyBorder="1"/>
    <xf numFmtId="17" fontId="18" fillId="0" borderId="6" xfId="0" applyNumberFormat="1" applyFont="1" applyBorder="1"/>
    <xf numFmtId="43" fontId="10" fillId="0" borderId="0" xfId="0" applyNumberFormat="1" applyFont="1"/>
    <xf numFmtId="10" fontId="10" fillId="0" borderId="0" xfId="5" applyNumberFormat="1" applyFont="1"/>
    <xf numFmtId="0" fontId="18" fillId="0" borderId="0" xfId="0" applyFont="1"/>
    <xf numFmtId="10" fontId="18" fillId="0" borderId="0" xfId="5" applyNumberFormat="1" applyFont="1"/>
    <xf numFmtId="0" fontId="0" fillId="0" borderId="0" xfId="0" applyAlignment="1">
      <alignment horizontal="left"/>
    </xf>
    <xf numFmtId="0" fontId="19" fillId="4" borderId="0" xfId="0" applyFont="1" applyFill="1" applyAlignment="1">
      <alignment horizontal="left"/>
    </xf>
    <xf numFmtId="174" fontId="0" fillId="0" borderId="0" xfId="0" applyNumberFormat="1"/>
    <xf numFmtId="2" fontId="0" fillId="0" borderId="0" xfId="0" applyNumberFormat="1" applyAlignment="1">
      <alignment horizontal="right"/>
    </xf>
    <xf numFmtId="0" fontId="16" fillId="0" borderId="0" xfId="0" applyFont="1"/>
    <xf numFmtId="0" fontId="17" fillId="0" borderId="6" xfId="0" applyFont="1" applyBorder="1" applyAlignment="1">
      <alignment horizontal="right"/>
    </xf>
    <xf numFmtId="2" fontId="17" fillId="0" borderId="6" xfId="0" applyNumberFormat="1" applyFont="1" applyBorder="1" applyAlignment="1">
      <alignment horizontal="right"/>
    </xf>
    <xf numFmtId="10" fontId="17" fillId="0" borderId="6" xfId="5" applyNumberFormat="1" applyFont="1" applyBorder="1" applyAlignment="1">
      <alignment horizontal="right"/>
    </xf>
    <xf numFmtId="0" fontId="0" fillId="0" borderId="7" xfId="0" applyBorder="1"/>
    <xf numFmtId="0" fontId="20" fillId="0" borderId="8" xfId="0" applyFont="1" applyBorder="1" applyAlignment="1">
      <alignment horizontal="center"/>
    </xf>
    <xf numFmtId="0" fontId="20" fillId="0" borderId="8" xfId="0" applyFont="1" applyBorder="1" applyAlignment="1">
      <alignment horizontal="centerContinuous"/>
    </xf>
    <xf numFmtId="10" fontId="0" fillId="0" borderId="0" xfId="5" applyNumberFormat="1" applyFont="1" applyAlignment="1">
      <alignment horizontal="left"/>
    </xf>
    <xf numFmtId="9" fontId="0" fillId="0" borderId="0" xfId="0" applyNumberFormat="1"/>
    <xf numFmtId="10" fontId="0" fillId="0" borderId="0" xfId="0" applyNumberFormat="1"/>
    <xf numFmtId="10" fontId="0" fillId="6" borderId="0" xfId="5" applyNumberFormat="1" applyFont="1" applyFill="1" applyAlignment="1">
      <alignment horizontal="left"/>
    </xf>
    <xf numFmtId="2" fontId="0" fillId="6" borderId="0" xfId="0" applyNumberFormat="1" applyFill="1"/>
    <xf numFmtId="10" fontId="17" fillId="0" borderId="0" xfId="0" applyNumberFormat="1" applyFont="1"/>
    <xf numFmtId="10" fontId="0" fillId="0" borderId="9" xfId="5" applyNumberFormat="1" applyFont="1" applyBorder="1" applyAlignment="1">
      <alignment horizontal="right"/>
    </xf>
    <xf numFmtId="0" fontId="0" fillId="0" borderId="9" xfId="0" applyBorder="1"/>
    <xf numFmtId="0" fontId="17" fillId="0" borderId="9" xfId="0" applyFont="1" applyBorder="1" applyAlignment="1">
      <alignment horizontal="right"/>
    </xf>
    <xf numFmtId="0" fontId="17" fillId="0" borderId="9" xfId="0" applyFont="1" applyBorder="1" applyAlignment="1">
      <alignment horizontal="left"/>
    </xf>
    <xf numFmtId="0" fontId="0" fillId="0" borderId="10" xfId="0" applyBorder="1"/>
    <xf numFmtId="0" fontId="24" fillId="0" borderId="0" xfId="0" applyFont="1"/>
    <xf numFmtId="0" fontId="24" fillId="0" borderId="0" xfId="0" applyFont="1" applyAlignment="1">
      <alignment horizontal="right"/>
    </xf>
    <xf numFmtId="10" fontId="24" fillId="0" borderId="0" xfId="0" applyNumberFormat="1" applyFont="1" applyAlignment="1">
      <alignment horizontal="right"/>
    </xf>
    <xf numFmtId="0" fontId="17" fillId="0" borderId="12" xfId="0" applyFont="1" applyBorder="1"/>
    <xf numFmtId="10" fontId="17" fillId="0" borderId="12" xfId="0" applyNumberFormat="1" applyFont="1" applyBorder="1"/>
    <xf numFmtId="2" fontId="17" fillId="0" borderId="12" xfId="0" applyNumberFormat="1" applyFont="1" applyBorder="1"/>
    <xf numFmtId="10" fontId="17" fillId="0" borderId="6" xfId="0" applyNumberFormat="1" applyFont="1" applyBorder="1"/>
    <xf numFmtId="2" fontId="17" fillId="0" borderId="6" xfId="0" applyNumberFormat="1" applyFont="1" applyBorder="1"/>
    <xf numFmtId="0" fontId="0" fillId="0" borderId="6" xfId="0" applyBorder="1"/>
    <xf numFmtId="0" fontId="0" fillId="0" borderId="12" xfId="0" applyBorder="1"/>
    <xf numFmtId="0" fontId="0" fillId="0" borderId="11" xfId="0" applyBorder="1"/>
    <xf numFmtId="0" fontId="17" fillId="0" borderId="9" xfId="0" applyFont="1" applyBorder="1"/>
    <xf numFmtId="2" fontId="0" fillId="0" borderId="4" xfId="0" applyNumberFormat="1" applyBorder="1"/>
    <xf numFmtId="10" fontId="0" fillId="0" borderId="6" xfId="0" applyNumberFormat="1" applyBorder="1"/>
    <xf numFmtId="10" fontId="24" fillId="0" borderId="0" xfId="0" applyNumberFormat="1" applyFont="1"/>
    <xf numFmtId="2" fontId="0" fillId="0" borderId="11" xfId="0" applyNumberFormat="1" applyBorder="1"/>
    <xf numFmtId="10" fontId="0" fillId="0" borderId="11" xfId="0" applyNumberFormat="1" applyBorder="1"/>
    <xf numFmtId="2" fontId="0" fillId="0" borderId="6" xfId="0" applyNumberFormat="1" applyBorder="1"/>
    <xf numFmtId="0" fontId="22" fillId="0" borderId="0" xfId="0" applyFont="1"/>
    <xf numFmtId="0" fontId="22" fillId="0" borderId="0" xfId="0" applyFont="1" applyAlignment="1">
      <alignment vertical="top"/>
    </xf>
    <xf numFmtId="0" fontId="17" fillId="7" borderId="0" xfId="0" applyFont="1" applyFill="1"/>
    <xf numFmtId="10" fontId="17" fillId="7" borderId="0" xfId="0" applyNumberFormat="1" applyFont="1" applyFill="1"/>
    <xf numFmtId="0" fontId="7" fillId="4" borderId="0" xfId="0" applyFont="1" applyFill="1" applyAlignment="1">
      <alignment horizontal="center"/>
    </xf>
    <xf numFmtId="43" fontId="6" fillId="0" borderId="0" xfId="4" applyNumberFormat="1" applyBorder="1" applyAlignment="1" applyProtection="1">
      <alignment horizontal="center"/>
    </xf>
    <xf numFmtId="43" fontId="4" fillId="2" borderId="0" xfId="3" applyNumberFormat="1" applyFont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17" fillId="0" borderId="13" xfId="0" applyFont="1" applyBorder="1"/>
    <xf numFmtId="0" fontId="25" fillId="0" borderId="0" xfId="0" applyFont="1"/>
    <xf numFmtId="0" fontId="25" fillId="0" borderId="13" xfId="0" applyFont="1" applyBorder="1"/>
    <xf numFmtId="0" fontId="25" fillId="0" borderId="0" xfId="0" applyFont="1" applyBorder="1"/>
    <xf numFmtId="0" fontId="16" fillId="4" borderId="0" xfId="0" applyFont="1" applyFill="1"/>
    <xf numFmtId="17" fontId="16" fillId="4" borderId="0" xfId="0" applyNumberFormat="1" applyFont="1" applyFill="1"/>
    <xf numFmtId="17" fontId="14" fillId="0" borderId="0" xfId="0" applyNumberFormat="1" applyFont="1"/>
    <xf numFmtId="3" fontId="25" fillId="0" borderId="0" xfId="0" applyNumberFormat="1" applyFont="1"/>
    <xf numFmtId="167" fontId="26" fillId="0" borderId="0" xfId="0" applyNumberFormat="1" applyFont="1"/>
    <xf numFmtId="3" fontId="14" fillId="0" borderId="0" xfId="0" applyNumberFormat="1" applyFont="1"/>
    <xf numFmtId="167" fontId="27" fillId="0" borderId="0" xfId="0" applyNumberFormat="1" applyFont="1"/>
    <xf numFmtId="3" fontId="25" fillId="0" borderId="13" xfId="0" applyNumberFormat="1" applyFont="1" applyBorder="1"/>
    <xf numFmtId="167" fontId="26" fillId="0" borderId="13" xfId="0" applyNumberFormat="1" applyFont="1" applyBorder="1"/>
    <xf numFmtId="3" fontId="25" fillId="0" borderId="0" xfId="0" applyNumberFormat="1" applyFont="1" applyBorder="1"/>
    <xf numFmtId="167" fontId="26" fillId="0" borderId="3" xfId="0" applyNumberFormat="1" applyFont="1" applyBorder="1"/>
    <xf numFmtId="167" fontId="27" fillId="0" borderId="3" xfId="0" applyNumberFormat="1" applyFont="1" applyBorder="1"/>
    <xf numFmtId="167" fontId="27" fillId="0" borderId="4" xfId="0" applyNumberFormat="1" applyFont="1" applyBorder="1"/>
    <xf numFmtId="4" fontId="0" fillId="0" borderId="0" xfId="0" applyNumberFormat="1"/>
    <xf numFmtId="0" fontId="0" fillId="0" borderId="13" xfId="0" applyBorder="1"/>
    <xf numFmtId="181" fontId="14" fillId="0" borderId="0" xfId="0" applyNumberFormat="1" applyFont="1"/>
    <xf numFmtId="0" fontId="25" fillId="0" borderId="12" xfId="0" applyFont="1" applyBorder="1"/>
    <xf numFmtId="181" fontId="14" fillId="0" borderId="12" xfId="0" applyNumberFormat="1" applyFont="1" applyBorder="1"/>
    <xf numFmtId="0" fontId="14" fillId="0" borderId="0" xfId="0" applyFont="1" applyBorder="1"/>
    <xf numFmtId="181" fontId="14" fillId="0" borderId="0" xfId="0" applyNumberFormat="1" applyFont="1" applyBorder="1"/>
    <xf numFmtId="0" fontId="25" fillId="0" borderId="11" xfId="0" applyFont="1" applyBorder="1"/>
    <xf numFmtId="181" fontId="14" fillId="0" borderId="11" xfId="0" applyNumberFormat="1" applyFont="1" applyBorder="1"/>
    <xf numFmtId="181" fontId="25" fillId="0" borderId="0" xfId="0" applyNumberFormat="1" applyFont="1"/>
    <xf numFmtId="181" fontId="25" fillId="0" borderId="11" xfId="0" applyNumberFormat="1" applyFont="1" applyBorder="1"/>
    <xf numFmtId="4" fontId="25" fillId="0" borderId="0" xfId="0" applyNumberFormat="1" applyFont="1"/>
    <xf numFmtId="10" fontId="25" fillId="0" borderId="13" xfId="5" applyNumberFormat="1" applyFont="1" applyBorder="1"/>
    <xf numFmtId="0" fontId="16" fillId="8" borderId="0" xfId="0" applyFont="1" applyFill="1"/>
    <xf numFmtId="17" fontId="16" fillId="8" borderId="0" xfId="0" applyNumberFormat="1" applyFont="1" applyFill="1"/>
    <xf numFmtId="10" fontId="28" fillId="0" borderId="0" xfId="0" applyNumberFormat="1" applyFont="1"/>
    <xf numFmtId="0" fontId="14" fillId="0" borderId="13" xfId="0" applyFont="1" applyBorder="1"/>
    <xf numFmtId="181" fontId="14" fillId="0" borderId="13" xfId="0" applyNumberFormat="1" applyFont="1" applyBorder="1"/>
    <xf numFmtId="0" fontId="14" fillId="0" borderId="0" xfId="0" applyFont="1" applyFill="1" applyBorder="1"/>
    <xf numFmtId="169" fontId="14" fillId="0" borderId="0" xfId="5" applyNumberFormat="1" applyFont="1"/>
    <xf numFmtId="0" fontId="14" fillId="6" borderId="0" xfId="0" applyFont="1" applyFill="1"/>
    <xf numFmtId="169" fontId="14" fillId="6" borderId="0" xfId="0" applyNumberFormat="1" applyFont="1" applyFill="1"/>
    <xf numFmtId="0" fontId="29" fillId="4" borderId="0" xfId="0" applyFont="1" applyFill="1"/>
    <xf numFmtId="10" fontId="14" fillId="0" borderId="0" xfId="5" applyNumberFormat="1" applyFont="1"/>
    <xf numFmtId="10" fontId="14" fillId="0" borderId="0" xfId="0" applyNumberFormat="1" applyFont="1"/>
    <xf numFmtId="10" fontId="14" fillId="0" borderId="13" xfId="5" applyNumberFormat="1" applyFont="1" applyBorder="1"/>
    <xf numFmtId="0" fontId="30" fillId="8" borderId="0" xfId="0" applyFont="1" applyFill="1"/>
    <xf numFmtId="183" fontId="30" fillId="8" borderId="0" xfId="0" applyNumberFormat="1" applyFont="1" applyFill="1"/>
    <xf numFmtId="184" fontId="30" fillId="8" borderId="0" xfId="0" applyNumberFormat="1" applyFont="1" applyFill="1"/>
    <xf numFmtId="10" fontId="0" fillId="6" borderId="0" xfId="0" applyNumberFormat="1" applyFill="1"/>
    <xf numFmtId="185" fontId="0" fillId="0" borderId="0" xfId="0" applyNumberFormat="1"/>
    <xf numFmtId="10" fontId="24" fillId="6" borderId="0" xfId="0" applyNumberFormat="1" applyFont="1" applyFill="1"/>
    <xf numFmtId="4" fontId="0" fillId="6" borderId="0" xfId="0" applyNumberFormat="1" applyFill="1"/>
    <xf numFmtId="4" fontId="0" fillId="0" borderId="13" xfId="0" applyNumberFormat="1" applyBorder="1"/>
    <xf numFmtId="0" fontId="17" fillId="6" borderId="13" xfId="0" applyFont="1" applyFill="1" applyBorder="1"/>
    <xf numFmtId="4" fontId="17" fillId="0" borderId="13" xfId="0" applyNumberFormat="1" applyFont="1" applyBorder="1"/>
    <xf numFmtId="0" fontId="0" fillId="8" borderId="0" xfId="0" applyFill="1"/>
    <xf numFmtId="43" fontId="0" fillId="0" borderId="0" xfId="0" applyNumberFormat="1"/>
    <xf numFmtId="170" fontId="0" fillId="0" borderId="0" xfId="0" applyNumberFormat="1"/>
  </cellXfs>
  <cellStyles count="6">
    <cellStyle name="Accent6 2" xfId="3" xr:uid="{CC9A1969-5A50-4033-814A-F0215C82E66A}"/>
    <cellStyle name="Comma 2" xfId="1" xr:uid="{4E3581B1-A3C2-4130-9638-1E6D5B71B060}"/>
    <cellStyle name="Hyperlink" xfId="4" builtinId="8"/>
    <cellStyle name="Normal" xfId="0" builtinId="0"/>
    <cellStyle name="Normal 2" xfId="2" xr:uid="{4274DCEB-FC32-4F34-8094-387629B81576}"/>
    <cellStyle name="Percent" xfId="5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TUDY%20MATERIAL%20MBA/FM/YT/WACC.xlsx" TargetMode="External"/><Relationship Id="rId2" Type="http://schemas.openxmlformats.org/officeDocument/2006/relationships/externalLinkPath" Target="file:///D:\STUDY%20MATERIAL%20MBA\FM\YT\WACC.xlsx" TargetMode="External"/><Relationship Id="rId1" Type="http://schemas.openxmlformats.org/officeDocument/2006/relationships/externalLinkPath" Target="/STUDY%20MATERIAL%20MBA/FM/YT/WAC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CF&gt;"/>
      <sheetName val="WACC"/>
      <sheetName val="Data&gt;"/>
      <sheetName val="Beta-Regression(D-mart)"/>
      <sheetName val="Beta (Hu)"/>
      <sheetName val="Beta NI"/>
      <sheetName val="Beta Britannia"/>
      <sheetName val="Beta GODREJ"/>
      <sheetName val="Beta Dabur India "/>
      <sheetName val="Intrisic Growth"/>
      <sheetName val="DCF"/>
      <sheetName val="Raw FS"/>
      <sheetName val="Data Room&gt;"/>
      <sheetName val="Data Sheet"/>
      <sheetName val="HistoricalIFS"/>
      <sheetName val="Cash flow Data"/>
      <sheetName val="Companies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I4">
            <v>45717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7B38-4637-43F4-B1F1-0322C8935AE8}">
  <sheetPr codeName="Sheet1">
    <tabColor rgb="FF002060"/>
  </sheetPr>
  <dimension ref="A1"/>
  <sheetViews>
    <sheetView workbookViewId="0">
      <selection activeCell="C7" sqref="C7"/>
    </sheetView>
  </sheetViews>
  <sheetFormatPr defaultRowHeight="13.8" x14ac:dyDescent="0.45"/>
  <cols>
    <col min="1" max="1" width="1.761718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289E-79DF-4210-B042-998A73FB79F4}">
  <sheetPr codeName="Sheet2"/>
  <dimension ref="A2:M132"/>
  <sheetViews>
    <sheetView showGridLines="0" workbookViewId="0">
      <pane ySplit="3" topLeftCell="A4" activePane="bottomLeft" state="frozen"/>
      <selection activeCell="O24" sqref="O24"/>
      <selection pane="bottomLeft" activeCell="E9" sqref="E9"/>
    </sheetView>
  </sheetViews>
  <sheetFormatPr defaultRowHeight="11.35" customHeight="1" x14ac:dyDescent="0.45"/>
  <cols>
    <col min="1" max="1" width="1.76171875" customWidth="1"/>
    <col min="2" max="2" width="19.046875" customWidth="1"/>
    <col min="3" max="13" width="8.76171875" style="20" customWidth="1"/>
  </cols>
  <sheetData>
    <row r="2" spans="1:13" ht="11.35" customHeight="1" x14ac:dyDescent="0.5">
      <c r="B2" s="126" t="str">
        <f>"HISTORICAL FINANCIAL STATEMENT" &amp; "-" &amp; 'Data Sheet'!B1</f>
        <v>HISTORICAL FINANCIAL STATEMENT-TATA CONSUMER PRODUCTS LTD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1:13" ht="11.35" customHeight="1" x14ac:dyDescent="0.5">
      <c r="B3" s="9" t="s">
        <v>54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1" t="s">
        <v>55</v>
      </c>
    </row>
    <row r="4" spans="1:13" ht="11.35" customHeight="1" x14ac:dyDescent="0.5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1.35" customHeight="1" x14ac:dyDescent="0.5">
      <c r="A5" t="s">
        <v>56</v>
      </c>
      <c r="B5" s="13" t="s">
        <v>57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 ht="11.35" customHeight="1" x14ac:dyDescent="0.5">
      <c r="B6" s="14" t="str">
        <f>'Data Sheet'!A17</f>
        <v>Sales</v>
      </c>
      <c r="C6" s="15">
        <f>IFERROR('Data Sheet'!B17,0)</f>
        <v>6636.54</v>
      </c>
      <c r="D6" s="15">
        <f>IFERROR('Data Sheet'!C17,0)</f>
        <v>6779.55</v>
      </c>
      <c r="E6" s="15">
        <f>IFERROR('Data Sheet'!D17,0)</f>
        <v>6815.35</v>
      </c>
      <c r="F6" s="15">
        <f>IFERROR('Data Sheet'!E17,0)</f>
        <v>7251.5</v>
      </c>
      <c r="G6" s="15">
        <f>IFERROR('Data Sheet'!F17,0)</f>
        <v>9637.42</v>
      </c>
      <c r="H6" s="15">
        <f>IFERROR('Data Sheet'!G17,0)</f>
        <v>11602.03</v>
      </c>
      <c r="I6" s="15">
        <f>IFERROR('Data Sheet'!H17,0)</f>
        <v>12425.37</v>
      </c>
      <c r="J6" s="15">
        <f>IFERROR('Data Sheet'!I17,0)</f>
        <v>13783.16</v>
      </c>
      <c r="K6" s="15">
        <f>IFERROR('Data Sheet'!J17,0)</f>
        <v>15205.85</v>
      </c>
      <c r="L6" s="15">
        <f>IFERROR('Data Sheet'!K17,0)</f>
        <v>17618.3</v>
      </c>
      <c r="M6" s="15">
        <f>IFERROR(SUM('Data Sheet'!H42:K42),0)</f>
        <v>19465.03</v>
      </c>
    </row>
    <row r="7" spans="1:13" ht="11.35" customHeight="1" x14ac:dyDescent="0.5">
      <c r="B7" s="16" t="s">
        <v>58</v>
      </c>
      <c r="C7" s="17" t="s">
        <v>61</v>
      </c>
      <c r="D7" s="18">
        <f>IFERROR(D6/C6-1,0)</f>
        <v>2.1548879385945074E-2</v>
      </c>
      <c r="E7" s="19">
        <f t="shared" ref="E7:M7" si="0">IFERROR(E6/D6-1,0)</f>
        <v>5.2805864696034988E-3</v>
      </c>
      <c r="F7" s="19">
        <f t="shared" si="0"/>
        <v>6.3995246025515984E-2</v>
      </c>
      <c r="G7" s="19">
        <f t="shared" si="0"/>
        <v>0.32902433979176715</v>
      </c>
      <c r="H7" s="19">
        <f t="shared" si="0"/>
        <v>0.20385227581655685</v>
      </c>
      <c r="I7" s="19">
        <f t="shared" si="0"/>
        <v>7.0965167302618593E-2</v>
      </c>
      <c r="J7" s="19">
        <f t="shared" si="0"/>
        <v>0.10927561915661266</v>
      </c>
      <c r="K7" s="19">
        <f t="shared" si="0"/>
        <v>0.10321943589133409</v>
      </c>
      <c r="L7" s="19">
        <f t="shared" si="0"/>
        <v>0.1586527553540249</v>
      </c>
      <c r="M7" s="19">
        <f t="shared" si="0"/>
        <v>0.10481885312430816</v>
      </c>
    </row>
    <row r="8" spans="1:13" ht="11.35" customHeight="1" x14ac:dyDescent="0.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11.35" customHeight="1" x14ac:dyDescent="0.5">
      <c r="B9" s="14" t="s">
        <v>59</v>
      </c>
      <c r="C9" s="15">
        <f>IFERROR(SUM('Data Sheet'!B18,'Data Sheet'!B20:B22)-1*'Data Sheet'!C19,0)</f>
        <v>4677.4400000000005</v>
      </c>
      <c r="D9" s="15">
        <f>IFERROR(SUM('Data Sheet'!C18,'Data Sheet'!C20:C22)-1*'Data Sheet'!C19,0)</f>
        <v>4680.7100000000009</v>
      </c>
      <c r="E9" s="15">
        <f>IFERROR(SUM('Data Sheet'!D18,'Data Sheet'!D20:D22)-1*'Data Sheet'!D19,0)</f>
        <v>4802.4400000000005</v>
      </c>
      <c r="F9" s="15">
        <f>IFERROR(SUM('Data Sheet'!E18,'Data Sheet'!E20:E22)-1*'Data Sheet'!E19,0)</f>
        <v>5112.8100000000004</v>
      </c>
      <c r="G9" s="15">
        <f>IFERROR(SUM('Data Sheet'!F18,'Data Sheet'!F20:F22)-1*'Data Sheet'!F19,0)</f>
        <v>6637.79</v>
      </c>
      <c r="H9" s="15">
        <f>IFERROR(SUM('Data Sheet'!G18,'Data Sheet'!G20:G22)-1*'Data Sheet'!G19,0)</f>
        <v>8227.5899999999983</v>
      </c>
      <c r="I9" s="15">
        <f>IFERROR(SUM('Data Sheet'!H18,'Data Sheet'!H20:H22)-1*'Data Sheet'!H19,0)</f>
        <v>8594.9299999999985</v>
      </c>
      <c r="J9" s="15">
        <f>IFERROR(SUM('Data Sheet'!I18,'Data Sheet'!I20:I22)-1*'Data Sheet'!I19,0)</f>
        <v>9681.1700000000019</v>
      </c>
      <c r="K9" s="15">
        <f>IFERROR(SUM('Data Sheet'!J18,'Data Sheet'!J20:J22)-1*'Data Sheet'!J19,0)</f>
        <v>10354.23</v>
      </c>
      <c r="L9" s="15">
        <f>IFERROR(SUM('Data Sheet'!K18,'Data Sheet'!K20:K22)-1*'Data Sheet'!K19,0)</f>
        <v>12092.75</v>
      </c>
      <c r="M9" s="15">
        <f>IFERROR(SUM('Data Sheet'!H43:K43),0)</f>
        <v>16844.690000000002</v>
      </c>
    </row>
    <row r="10" spans="1:13" ht="11.35" customHeight="1" x14ac:dyDescent="0.5">
      <c r="B10" s="16" t="s">
        <v>60</v>
      </c>
      <c r="C10" s="19">
        <f>IFERROR(C9/C6,0)</f>
        <v>0.70480099569956645</v>
      </c>
      <c r="D10" s="19">
        <f t="shared" ref="D10:M10" si="1">IFERROR(D9/D6,0)</f>
        <v>0.69041603056250056</v>
      </c>
      <c r="E10" s="19">
        <f t="shared" si="1"/>
        <v>0.70465053152075829</v>
      </c>
      <c r="F10" s="19">
        <f t="shared" si="1"/>
        <v>0.70506929600772261</v>
      </c>
      <c r="G10" s="19">
        <f t="shared" si="1"/>
        <v>0.68875176136351846</v>
      </c>
      <c r="H10" s="19">
        <f t="shared" si="1"/>
        <v>0.70915089859274605</v>
      </c>
      <c r="I10" s="19">
        <f t="shared" si="1"/>
        <v>0.69172427058510111</v>
      </c>
      <c r="J10" s="19">
        <f t="shared" si="1"/>
        <v>0.7023911788007976</v>
      </c>
      <c r="K10" s="19">
        <f t="shared" si="1"/>
        <v>0.68093727085299405</v>
      </c>
      <c r="L10" s="19">
        <f t="shared" si="1"/>
        <v>0.68637439480540119</v>
      </c>
      <c r="M10" s="19">
        <f t="shared" si="1"/>
        <v>0.86538217511095561</v>
      </c>
    </row>
    <row r="11" spans="1:13" ht="11.35" customHeight="1" x14ac:dyDescent="0.5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ht="11.35" customHeight="1" x14ac:dyDescent="0.5">
      <c r="B12" s="24" t="s">
        <v>63</v>
      </c>
      <c r="C12" s="25">
        <f>C6-C9</f>
        <v>1959.0999999999995</v>
      </c>
      <c r="D12" s="25">
        <f t="shared" ref="D12:M12" si="2">D6-D9</f>
        <v>2098.8399999999992</v>
      </c>
      <c r="E12" s="25">
        <f t="shared" si="2"/>
        <v>2012.9099999999999</v>
      </c>
      <c r="F12" s="25">
        <f t="shared" si="2"/>
        <v>2138.6899999999996</v>
      </c>
      <c r="G12" s="25">
        <f t="shared" si="2"/>
        <v>2999.63</v>
      </c>
      <c r="H12" s="25">
        <f t="shared" si="2"/>
        <v>3374.4400000000023</v>
      </c>
      <c r="I12" s="25">
        <f t="shared" si="2"/>
        <v>3830.4400000000023</v>
      </c>
      <c r="J12" s="25">
        <f t="shared" si="2"/>
        <v>4101.989999999998</v>
      </c>
      <c r="K12" s="25">
        <f t="shared" si="2"/>
        <v>4851.6200000000008</v>
      </c>
      <c r="L12" s="25">
        <f t="shared" si="2"/>
        <v>5525.5499999999993</v>
      </c>
      <c r="M12" s="25">
        <f t="shared" si="2"/>
        <v>2620.3399999999965</v>
      </c>
    </row>
    <row r="13" spans="1:13" ht="11.35" customHeight="1" x14ac:dyDescent="0.5">
      <c r="B13" s="16" t="s">
        <v>64</v>
      </c>
      <c r="C13" s="19">
        <f>C12/C6</f>
        <v>0.29519900430043355</v>
      </c>
      <c r="D13" s="19">
        <f t="shared" ref="D13:M13" si="3">D12/D6</f>
        <v>0.30958396943749944</v>
      </c>
      <c r="E13" s="19">
        <f t="shared" si="3"/>
        <v>0.29534946847924165</v>
      </c>
      <c r="F13" s="19">
        <f t="shared" si="3"/>
        <v>0.29493070399227739</v>
      </c>
      <c r="G13" s="19">
        <f t="shared" si="3"/>
        <v>0.31124823863648154</v>
      </c>
      <c r="H13" s="19">
        <f t="shared" si="3"/>
        <v>0.2908491014072539</v>
      </c>
      <c r="I13" s="19">
        <f t="shared" si="3"/>
        <v>0.30827572941489889</v>
      </c>
      <c r="J13" s="19">
        <f t="shared" si="3"/>
        <v>0.29760882119920234</v>
      </c>
      <c r="K13" s="19">
        <f t="shared" si="3"/>
        <v>0.31906272914700595</v>
      </c>
      <c r="L13" s="19">
        <f t="shared" si="3"/>
        <v>0.31362560519459876</v>
      </c>
      <c r="M13" s="19">
        <f t="shared" si="3"/>
        <v>0.13461782488904445</v>
      </c>
    </row>
    <row r="14" spans="1:13" ht="11.35" customHeight="1" x14ac:dyDescent="0.5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11.35" customHeight="1" x14ac:dyDescent="0.5">
      <c r="B15" s="14" t="str">
        <f>'Data Sheet'!A23</f>
        <v>Selling and admin</v>
      </c>
      <c r="C15" s="15">
        <f>IFERROR(SUM('Data Sheet'!B24),0)</f>
        <v>649.51</v>
      </c>
      <c r="D15" s="15">
        <f>IFERROR(SUM('Data Sheet'!C24),0)</f>
        <v>380.79</v>
      </c>
      <c r="E15" s="15">
        <f>IFERROR(SUM('Data Sheet'!D24),0)</f>
        <v>316.36</v>
      </c>
      <c r="F15" s="15">
        <f>IFERROR(SUM('Data Sheet'!E24),0)</f>
        <v>384.55</v>
      </c>
      <c r="G15" s="15">
        <f>IFERROR(SUM('Data Sheet'!F24),0)</f>
        <v>429.32</v>
      </c>
      <c r="H15" s="15">
        <f>IFERROR(SUM('Data Sheet'!G24),0)</f>
        <v>409.22</v>
      </c>
      <c r="I15" s="15">
        <f>IFERROR(SUM('Data Sheet'!H24),0)</f>
        <v>419.83</v>
      </c>
      <c r="J15" s="15">
        <f>IFERROR(SUM('Data Sheet'!I24),0)</f>
        <v>460.26</v>
      </c>
      <c r="K15" s="15">
        <f>IFERROR(SUM('Data Sheet'!J24),0)</f>
        <v>640.37</v>
      </c>
      <c r="L15" s="15">
        <f>IFERROR(SUM('Data Sheet'!K24),0)</f>
        <v>792.83</v>
      </c>
      <c r="M15" s="15">
        <f>IFERROR(SUM('Data Sheet'!L24),0)</f>
        <v>0</v>
      </c>
    </row>
    <row r="16" spans="1:13" ht="11.35" customHeight="1" x14ac:dyDescent="0.5">
      <c r="B16" s="16" t="s">
        <v>62</v>
      </c>
      <c r="C16" s="19">
        <f>IFERROR(C15/C6,0)</f>
        <v>9.78687689669617E-2</v>
      </c>
      <c r="D16" s="19">
        <f t="shared" ref="D16:M16" si="4">IFERROR(D15/D6,0)</f>
        <v>5.616744474190765E-2</v>
      </c>
      <c r="E16" s="19">
        <f t="shared" si="4"/>
        <v>4.6418745919138416E-2</v>
      </c>
      <c r="F16" s="19">
        <f t="shared" si="4"/>
        <v>5.3030407501896158E-2</v>
      </c>
      <c r="G16" s="19">
        <f t="shared" si="4"/>
        <v>4.4547192090829288E-2</v>
      </c>
      <c r="H16" s="19">
        <f t="shared" si="4"/>
        <v>3.5271413709497393E-2</v>
      </c>
      <c r="I16" s="19">
        <f t="shared" si="4"/>
        <v>3.3788128643251668E-2</v>
      </c>
      <c r="J16" s="19">
        <f t="shared" si="4"/>
        <v>3.3392922958160536E-2</v>
      </c>
      <c r="K16" s="19">
        <f t="shared" si="4"/>
        <v>4.211339714649296E-2</v>
      </c>
      <c r="L16" s="19">
        <f t="shared" si="4"/>
        <v>4.5000368934573716E-2</v>
      </c>
      <c r="M16" s="19">
        <f t="shared" si="4"/>
        <v>0</v>
      </c>
    </row>
    <row r="17" spans="2:13" ht="11.35" customHeight="1" x14ac:dyDescent="0.5">
      <c r="B17" s="12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2:13" ht="11.35" customHeight="1" x14ac:dyDescent="0.5">
      <c r="B18" s="24" t="s">
        <v>65</v>
      </c>
      <c r="C18" s="25">
        <f>C12-C15</f>
        <v>1309.5899999999995</v>
      </c>
      <c r="D18" s="25">
        <f t="shared" ref="D18:L18" si="5">D12-D15</f>
        <v>1718.0499999999993</v>
      </c>
      <c r="E18" s="25">
        <f t="shared" si="5"/>
        <v>1696.5499999999997</v>
      </c>
      <c r="F18" s="25">
        <f t="shared" si="5"/>
        <v>1754.1399999999996</v>
      </c>
      <c r="G18" s="25">
        <f t="shared" si="5"/>
        <v>2570.31</v>
      </c>
      <c r="H18" s="25">
        <f t="shared" si="5"/>
        <v>2965.2200000000021</v>
      </c>
      <c r="I18" s="25">
        <f t="shared" si="5"/>
        <v>3410.6100000000024</v>
      </c>
      <c r="J18" s="25">
        <f t="shared" si="5"/>
        <v>3641.7299999999977</v>
      </c>
      <c r="K18" s="25">
        <f t="shared" si="5"/>
        <v>4211.2500000000009</v>
      </c>
      <c r="L18" s="25">
        <f t="shared" si="5"/>
        <v>4732.7199999999993</v>
      </c>
      <c r="M18" s="25">
        <f>IFERROR(SUM('Data Sheet'!H45:K45,'Data Sheet'!H46:K46,'Data Sheet'!H48:K48),0)</f>
        <v>1258.1500000000001</v>
      </c>
    </row>
    <row r="19" spans="2:13" ht="11.35" customHeight="1" x14ac:dyDescent="0.5">
      <c r="B19" s="16" t="s">
        <v>66</v>
      </c>
      <c r="C19" s="19">
        <f>IFERROR(C18/C6,0)</f>
        <v>0.19733023533347188</v>
      </c>
      <c r="D19" s="19">
        <f t="shared" ref="D19:M19" si="6">IFERROR(D18/D6,0)</f>
        <v>0.25341652469559178</v>
      </c>
      <c r="E19" s="19">
        <f t="shared" si="6"/>
        <v>0.24893072256010323</v>
      </c>
      <c r="F19" s="19">
        <f t="shared" si="6"/>
        <v>0.24190029649038125</v>
      </c>
      <c r="G19" s="19">
        <f t="shared" si="6"/>
        <v>0.26670104654565224</v>
      </c>
      <c r="H19" s="19">
        <f t="shared" si="6"/>
        <v>0.25557768769775652</v>
      </c>
      <c r="I19" s="19">
        <f t="shared" si="6"/>
        <v>0.27448760077164724</v>
      </c>
      <c r="J19" s="19">
        <f t="shared" si="6"/>
        <v>0.2642158982410418</v>
      </c>
      <c r="K19" s="19">
        <f t="shared" si="6"/>
        <v>0.27694933200051303</v>
      </c>
      <c r="L19" s="19">
        <f t="shared" si="6"/>
        <v>0.26862523626002505</v>
      </c>
      <c r="M19" s="19">
        <f t="shared" si="6"/>
        <v>6.4636427480461126E-2</v>
      </c>
    </row>
    <row r="20" spans="2:13" ht="11.35" customHeight="1" x14ac:dyDescent="0.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2:13" ht="11.35" customHeight="1" x14ac:dyDescent="0.5">
      <c r="B21" s="14" t="str">
        <f>'Data Sheet'!A26</f>
        <v>Depreciation</v>
      </c>
      <c r="C21" s="15">
        <f>IFERROR('Data Sheet'!B26,0)</f>
        <v>116.79</v>
      </c>
      <c r="D21" s="15">
        <f>IFERROR('Data Sheet'!C26,0)</f>
        <v>126.04</v>
      </c>
      <c r="E21" s="15">
        <f>IFERROR('Data Sheet'!D26,0)</f>
        <v>116.04</v>
      </c>
      <c r="F21" s="15">
        <f>IFERROR('Data Sheet'!E26,0)</f>
        <v>122.57</v>
      </c>
      <c r="G21" s="15">
        <f>IFERROR('Data Sheet'!F26,0)</f>
        <v>241.71</v>
      </c>
      <c r="H21" s="15">
        <f>IFERROR('Data Sheet'!G26,0)</f>
        <v>254.74</v>
      </c>
      <c r="I21" s="15">
        <f>IFERROR('Data Sheet'!H26,0)</f>
        <v>278.01</v>
      </c>
      <c r="J21" s="15">
        <f>IFERROR('Data Sheet'!I26,0)</f>
        <v>304.08</v>
      </c>
      <c r="K21" s="15">
        <f>IFERROR('Data Sheet'!J26,0)</f>
        <v>377.15</v>
      </c>
      <c r="L21" s="15">
        <f>IFERROR('Data Sheet'!K26,0)</f>
        <v>600.74</v>
      </c>
      <c r="M21" s="15">
        <f>IFERROR(SUM('Data Sheet'!H45:K45),0)</f>
        <v>614.58999999999992</v>
      </c>
    </row>
    <row r="22" spans="2:13" ht="11.35" customHeight="1" x14ac:dyDescent="0.5">
      <c r="B22" s="16" t="s">
        <v>67</v>
      </c>
      <c r="C22" s="19">
        <f>C21/C6</f>
        <v>1.7598025477131157E-2</v>
      </c>
      <c r="D22" s="19">
        <f t="shared" ref="D22:M22" si="7">D21/D6</f>
        <v>1.8591204430972556E-2</v>
      </c>
      <c r="E22" s="19">
        <f t="shared" si="7"/>
        <v>1.7026271578128784E-2</v>
      </c>
      <c r="F22" s="19">
        <f t="shared" si="7"/>
        <v>1.6902709784182582E-2</v>
      </c>
      <c r="G22" s="19">
        <f t="shared" si="7"/>
        <v>2.5080363831813911E-2</v>
      </c>
      <c r="H22" s="19">
        <f t="shared" si="7"/>
        <v>2.1956502439659267E-2</v>
      </c>
      <c r="I22" s="19">
        <f t="shared" si="7"/>
        <v>2.237438402236714E-2</v>
      </c>
      <c r="J22" s="19">
        <f t="shared" si="7"/>
        <v>2.2061704282617337E-2</v>
      </c>
      <c r="K22" s="19">
        <f t="shared" si="7"/>
        <v>2.4802954126208004E-2</v>
      </c>
      <c r="L22" s="19">
        <f t="shared" si="7"/>
        <v>3.4097500893956856E-2</v>
      </c>
      <c r="M22" s="19">
        <f t="shared" si="7"/>
        <v>3.1574058709388064E-2</v>
      </c>
    </row>
    <row r="23" spans="2:13" ht="11.35" customHeight="1" x14ac:dyDescent="0.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2:13" ht="11.35" customHeight="1" x14ac:dyDescent="0.5">
      <c r="B24" s="14" t="str">
        <f>'Data Sheet'!A27</f>
        <v>Interest</v>
      </c>
      <c r="C24" s="15">
        <f>IFERROR('Data Sheet'!B27,0)</f>
        <v>116.9</v>
      </c>
      <c r="D24" s="15">
        <f>IFERROR('Data Sheet'!C27,0)</f>
        <v>91.53</v>
      </c>
      <c r="E24" s="15">
        <f>IFERROR('Data Sheet'!D27,0)</f>
        <v>42.76</v>
      </c>
      <c r="F24" s="15">
        <f>IFERROR('Data Sheet'!E27,0)</f>
        <v>52.47</v>
      </c>
      <c r="G24" s="15">
        <f>IFERROR('Data Sheet'!F27,0)</f>
        <v>77.86</v>
      </c>
      <c r="H24" s="15">
        <f>IFERROR('Data Sheet'!G27,0)</f>
        <v>68.69</v>
      </c>
      <c r="I24" s="15">
        <f>IFERROR('Data Sheet'!H27,0)</f>
        <v>72.78</v>
      </c>
      <c r="J24" s="15">
        <f>IFERROR('Data Sheet'!I27,0)</f>
        <v>87.16</v>
      </c>
      <c r="K24" s="15">
        <f>IFERROR('Data Sheet'!J27,0)</f>
        <v>129.81</v>
      </c>
      <c r="L24" s="15">
        <f>IFERROR('Data Sheet'!K27,0)</f>
        <v>290.2</v>
      </c>
      <c r="M24" s="15">
        <f>IFERROR(SUM('Data Sheet'!H46:K46),0)</f>
        <v>138.6</v>
      </c>
    </row>
    <row r="25" spans="2:13" ht="11.35" customHeight="1" x14ac:dyDescent="0.5">
      <c r="B25" s="16" t="s">
        <v>68</v>
      </c>
      <c r="C25" s="19">
        <f>C24/C6</f>
        <v>1.7614600379113214E-2</v>
      </c>
      <c r="D25" s="19">
        <f t="shared" ref="D25:L25" si="8">D24/D6</f>
        <v>1.3500896077173264E-2</v>
      </c>
      <c r="E25" s="19">
        <f t="shared" si="8"/>
        <v>6.274072498110881E-3</v>
      </c>
      <c r="F25" s="19">
        <f t="shared" si="8"/>
        <v>7.235744328759567E-3</v>
      </c>
      <c r="G25" s="19">
        <f t="shared" si="8"/>
        <v>8.0789256875802851E-3</v>
      </c>
      <c r="H25" s="19">
        <f t="shared" si="8"/>
        <v>5.9205156339019981E-3</v>
      </c>
      <c r="I25" s="19">
        <f t="shared" si="8"/>
        <v>5.8573708469043572E-3</v>
      </c>
      <c r="J25" s="19">
        <f t="shared" si="8"/>
        <v>6.3236587255752668E-3</v>
      </c>
      <c r="K25" s="19">
        <f t="shared" si="8"/>
        <v>8.536846016500229E-3</v>
      </c>
      <c r="L25" s="19">
        <f t="shared" si="8"/>
        <v>1.6471509737034786E-2</v>
      </c>
      <c r="M25" s="19">
        <f>M24/M6</f>
        <v>7.1204616689519613E-3</v>
      </c>
    </row>
    <row r="26" spans="2:13" ht="11.35" customHeight="1" x14ac:dyDescent="0.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2:13" ht="11.35" customHeight="1" x14ac:dyDescent="0.5">
      <c r="B27" s="24" t="s">
        <v>69</v>
      </c>
      <c r="C27" s="25">
        <f>C18-C21-C24</f>
        <v>1075.8999999999994</v>
      </c>
      <c r="D27" s="25">
        <f t="shared" ref="D27:M27" si="9">D18-D21-D24</f>
        <v>1500.4799999999993</v>
      </c>
      <c r="E27" s="25">
        <f t="shared" si="9"/>
        <v>1537.7499999999998</v>
      </c>
      <c r="F27" s="25">
        <f t="shared" si="9"/>
        <v>1579.0999999999997</v>
      </c>
      <c r="G27" s="25">
        <f t="shared" si="9"/>
        <v>2250.7399999999998</v>
      </c>
      <c r="H27" s="25">
        <f t="shared" si="9"/>
        <v>2641.7900000000022</v>
      </c>
      <c r="I27" s="25">
        <f t="shared" si="9"/>
        <v>3059.820000000002</v>
      </c>
      <c r="J27" s="25">
        <f t="shared" si="9"/>
        <v>3250.489999999998</v>
      </c>
      <c r="K27" s="25">
        <f t="shared" si="9"/>
        <v>3704.2900000000009</v>
      </c>
      <c r="L27" s="25">
        <f t="shared" si="9"/>
        <v>3841.7799999999997</v>
      </c>
      <c r="M27" s="25">
        <f t="shared" si="9"/>
        <v>504.96000000000015</v>
      </c>
    </row>
    <row r="28" spans="2:13" ht="11.35" customHeight="1" x14ac:dyDescent="0.5">
      <c r="B28" s="19" t="s">
        <v>70</v>
      </c>
      <c r="C28" s="19">
        <f>C27/C6</f>
        <v>0.1621176094772275</v>
      </c>
      <c r="D28" s="19">
        <f t="shared" ref="D28:M28" si="10">D27/D6</f>
        <v>0.22132442418744597</v>
      </c>
      <c r="E28" s="19">
        <f t="shared" si="10"/>
        <v>0.22563037848386358</v>
      </c>
      <c r="F28" s="19">
        <f t="shared" si="10"/>
        <v>0.21776184237743912</v>
      </c>
      <c r="G28" s="19">
        <f t="shared" si="10"/>
        <v>0.23354175702625804</v>
      </c>
      <c r="H28" s="19">
        <f t="shared" si="10"/>
        <v>0.22770066962419525</v>
      </c>
      <c r="I28" s="19">
        <f t="shared" si="10"/>
        <v>0.24625584590237568</v>
      </c>
      <c r="J28" s="19">
        <f t="shared" si="10"/>
        <v>0.23583053523284922</v>
      </c>
      <c r="K28" s="19">
        <f t="shared" si="10"/>
        <v>0.24360953185780479</v>
      </c>
      <c r="L28" s="19">
        <f t="shared" si="10"/>
        <v>0.21805622562903343</v>
      </c>
      <c r="M28" s="19">
        <f t="shared" si="10"/>
        <v>2.5941907102121096E-2</v>
      </c>
    </row>
    <row r="29" spans="2:13" ht="11.35" customHeight="1" x14ac:dyDescent="0.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2:13" ht="11.35" customHeight="1" x14ac:dyDescent="0.5">
      <c r="B30" s="12" t="s">
        <v>71</v>
      </c>
      <c r="C30" s="15">
        <f>'Data Sheet'!B29</f>
        <v>200.01</v>
      </c>
      <c r="D30" s="15">
        <f>'Data Sheet'!C29</f>
        <v>198.31</v>
      </c>
      <c r="E30" s="15">
        <f>'Data Sheet'!D29</f>
        <v>185.87</v>
      </c>
      <c r="F30" s="15">
        <f>'Data Sheet'!E29</f>
        <v>260.88</v>
      </c>
      <c r="G30" s="15">
        <f>'Data Sheet'!F29</f>
        <v>274.19</v>
      </c>
      <c r="H30" s="15">
        <f>'Data Sheet'!G29</f>
        <v>317.27</v>
      </c>
      <c r="I30" s="15">
        <f>'Data Sheet'!H29</f>
        <v>377.04</v>
      </c>
      <c r="J30" s="15">
        <f>'Data Sheet'!I29</f>
        <v>447.04</v>
      </c>
      <c r="K30" s="15">
        <f>'Data Sheet'!J29</f>
        <v>394.73</v>
      </c>
      <c r="L30" s="15">
        <f>'Data Sheet'!K29</f>
        <v>396.24</v>
      </c>
      <c r="M30" s="15">
        <f>IFERROR(SUM('Data Sheet'!H29:K29),0)</f>
        <v>1615.05</v>
      </c>
    </row>
    <row r="31" spans="2:13" ht="11.35" customHeight="1" x14ac:dyDescent="0.5">
      <c r="B31" s="19" t="s">
        <v>72</v>
      </c>
      <c r="C31" s="19">
        <f>C30/C6</f>
        <v>3.013769223119276E-2</v>
      </c>
      <c r="D31" s="19">
        <f t="shared" ref="D31:M31" si="11">D30/D6</f>
        <v>2.925120398846531E-2</v>
      </c>
      <c r="E31" s="19">
        <f t="shared" si="11"/>
        <v>2.7272260412157849E-2</v>
      </c>
      <c r="F31" s="19">
        <f t="shared" si="11"/>
        <v>3.5976004964490105E-2</v>
      </c>
      <c r="G31" s="19">
        <f t="shared" si="11"/>
        <v>2.8450560419697388E-2</v>
      </c>
      <c r="H31" s="19">
        <f t="shared" si="11"/>
        <v>2.7346076505577039E-2</v>
      </c>
      <c r="I31" s="19">
        <f t="shared" si="11"/>
        <v>3.0344368014795536E-2</v>
      </c>
      <c r="J31" s="19">
        <f t="shared" si="11"/>
        <v>3.2433781513092792E-2</v>
      </c>
      <c r="K31" s="19">
        <f t="shared" si="11"/>
        <v>2.5959088114113977E-2</v>
      </c>
      <c r="L31" s="19">
        <f t="shared" si="11"/>
        <v>2.249025161337927E-2</v>
      </c>
      <c r="M31" s="19">
        <f t="shared" si="11"/>
        <v>8.2971873148924E-2</v>
      </c>
    </row>
    <row r="32" spans="2:13" ht="11.35" customHeight="1" x14ac:dyDescent="0.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11.35" customHeight="1" x14ac:dyDescent="0.5">
      <c r="B33" s="24" t="s">
        <v>73</v>
      </c>
      <c r="C33" s="25">
        <f>C27-C30</f>
        <v>875.88999999999942</v>
      </c>
      <c r="D33" s="25">
        <f t="shared" ref="D33:M33" si="12">D27-D30</f>
        <v>1302.1699999999994</v>
      </c>
      <c r="E33" s="25">
        <f t="shared" si="12"/>
        <v>1351.8799999999997</v>
      </c>
      <c r="F33" s="25">
        <f t="shared" si="12"/>
        <v>1318.2199999999998</v>
      </c>
      <c r="G33" s="25">
        <f t="shared" si="12"/>
        <v>1976.5499999999997</v>
      </c>
      <c r="H33" s="25">
        <f t="shared" si="12"/>
        <v>2324.5200000000023</v>
      </c>
      <c r="I33" s="25">
        <f t="shared" si="12"/>
        <v>2682.780000000002</v>
      </c>
      <c r="J33" s="25">
        <f t="shared" si="12"/>
        <v>2803.449999999998</v>
      </c>
      <c r="K33" s="25">
        <f t="shared" si="12"/>
        <v>3309.5600000000009</v>
      </c>
      <c r="L33" s="25">
        <f t="shared" si="12"/>
        <v>3445.54</v>
      </c>
      <c r="M33" s="25">
        <f t="shared" si="12"/>
        <v>-1110.0899999999997</v>
      </c>
    </row>
    <row r="34" spans="1:13" ht="11.35" customHeight="1" x14ac:dyDescent="0.5">
      <c r="B34" s="19" t="s">
        <v>74</v>
      </c>
      <c r="C34" s="19">
        <f>C33/C6</f>
        <v>0.13197991724603475</v>
      </c>
      <c r="D34" s="19">
        <f t="shared" ref="D34:M34" si="13">D33/D6</f>
        <v>0.19207322019898065</v>
      </c>
      <c r="E34" s="19">
        <f t="shared" si="13"/>
        <v>0.19835811807170572</v>
      </c>
      <c r="F34" s="19">
        <f t="shared" si="13"/>
        <v>0.18178583741294901</v>
      </c>
      <c r="G34" s="19">
        <f t="shared" si="13"/>
        <v>0.20509119660656064</v>
      </c>
      <c r="H34" s="19">
        <f t="shared" si="13"/>
        <v>0.20035459311861822</v>
      </c>
      <c r="I34" s="19">
        <f t="shared" si="13"/>
        <v>0.21591147788758017</v>
      </c>
      <c r="J34" s="19">
        <f t="shared" si="13"/>
        <v>0.20339675371975643</v>
      </c>
      <c r="K34" s="19">
        <f t="shared" si="13"/>
        <v>0.2176504437436908</v>
      </c>
      <c r="L34" s="19">
        <f t="shared" si="13"/>
        <v>0.19556597401565418</v>
      </c>
      <c r="M34" s="19">
        <f t="shared" si="13"/>
        <v>-5.7029966046802896E-2</v>
      </c>
    </row>
    <row r="36" spans="1:13" ht="11.35" customHeight="1" x14ac:dyDescent="0.5">
      <c r="B36" s="12" t="s">
        <v>75</v>
      </c>
      <c r="C36" s="12">
        <f>IFERROR('Data Sheet'!B93,0)</f>
        <v>65.540000000000006</v>
      </c>
      <c r="D36" s="12">
        <f>IFERROR('Data Sheet'!C93,0)</f>
        <v>65.540000000000006</v>
      </c>
      <c r="E36" s="12">
        <f>IFERROR('Data Sheet'!D93,0)</f>
        <v>65.540000000000006</v>
      </c>
      <c r="F36" s="12">
        <f>IFERROR('Data Sheet'!E93,0)</f>
        <v>65.540000000000006</v>
      </c>
      <c r="G36" s="12">
        <f>IFERROR('Data Sheet'!F93,0)</f>
        <v>95.7</v>
      </c>
      <c r="H36" s="12">
        <f>IFERROR('Data Sheet'!G93,0)</f>
        <v>95.7</v>
      </c>
      <c r="I36" s="12">
        <f>IFERROR('Data Sheet'!H93,0)</f>
        <v>95.7</v>
      </c>
      <c r="J36" s="12">
        <f>IFERROR('Data Sheet'!I93,0)</f>
        <v>96.47</v>
      </c>
      <c r="K36" s="12">
        <f>IFERROR('Data Sheet'!J93,0)</f>
        <v>98.95</v>
      </c>
      <c r="L36" s="12">
        <f>IFERROR('Data Sheet'!K93,0)</f>
        <v>98.95</v>
      </c>
      <c r="M36" s="12">
        <f>L36</f>
        <v>98.95</v>
      </c>
    </row>
    <row r="38" spans="1:13" ht="11.35" customHeight="1" x14ac:dyDescent="0.5">
      <c r="B38" s="15" t="s">
        <v>76</v>
      </c>
      <c r="C38" s="15">
        <f>IFERROR(C33/C36,0)</f>
        <v>13.364205065608779</v>
      </c>
      <c r="D38" s="15">
        <f t="shared" ref="D38:M38" si="14">IFERROR(D33/D36,0)</f>
        <v>19.868324687213903</v>
      </c>
      <c r="E38" s="15">
        <f t="shared" si="14"/>
        <v>20.626792798291113</v>
      </c>
      <c r="F38" s="15">
        <f t="shared" si="14"/>
        <v>20.113213304851993</v>
      </c>
      <c r="G38" s="15">
        <f t="shared" si="14"/>
        <v>20.653605015673978</v>
      </c>
      <c r="H38" s="15">
        <f t="shared" si="14"/>
        <v>24.289655172413816</v>
      </c>
      <c r="I38" s="15">
        <f t="shared" si="14"/>
        <v>28.03322884012541</v>
      </c>
      <c r="J38" s="15">
        <f t="shared" si="14"/>
        <v>29.060329636156297</v>
      </c>
      <c r="K38" s="15">
        <f t="shared" si="14"/>
        <v>33.446791308741794</v>
      </c>
      <c r="L38" s="15">
        <f t="shared" si="14"/>
        <v>34.821020717534104</v>
      </c>
      <c r="M38" s="15">
        <f t="shared" si="14"/>
        <v>-11.218696311268314</v>
      </c>
    </row>
    <row r="39" spans="1:13" ht="11.35" customHeight="1" x14ac:dyDescent="0.5">
      <c r="B39" s="19" t="s">
        <v>77</v>
      </c>
      <c r="C39" s="19" t="s">
        <v>61</v>
      </c>
      <c r="D39" s="19">
        <f>IFERROR(D38/C38-1,0)</f>
        <v>0.48668211761750912</v>
      </c>
      <c r="E39" s="19">
        <f t="shared" ref="E39:M39" si="15">IFERROR(E38/D38-1,0)</f>
        <v>3.8174739089366527E-2</v>
      </c>
      <c r="F39" s="19">
        <f t="shared" si="15"/>
        <v>-2.4898659644347121E-2</v>
      </c>
      <c r="G39" s="19">
        <f t="shared" si="15"/>
        <v>2.6867497631103188E-2</v>
      </c>
      <c r="H39" s="19">
        <f t="shared" si="15"/>
        <v>0.1760491765955845</v>
      </c>
      <c r="I39" s="19">
        <f t="shared" si="15"/>
        <v>0.15412214134530955</v>
      </c>
      <c r="J39" s="19">
        <f t="shared" si="15"/>
        <v>3.663869053003066E-2</v>
      </c>
      <c r="K39" s="19">
        <f t="shared" si="15"/>
        <v>0.15094328686237435</v>
      </c>
      <c r="L39" s="19">
        <f t="shared" si="15"/>
        <v>4.1087032717339822E-2</v>
      </c>
      <c r="M39" s="19">
        <f t="shared" si="15"/>
        <v>-1.3221817189758354</v>
      </c>
    </row>
    <row r="41" spans="1:13" ht="11.35" customHeight="1" x14ac:dyDescent="0.5">
      <c r="B41" s="12" t="s">
        <v>78</v>
      </c>
      <c r="C41" s="15">
        <f>IFERROR('Data Sheet'!B31/'Historical Financial'!C38,0)</f>
        <v>10.625398166436431</v>
      </c>
      <c r="D41" s="15">
        <f>IFERROR('Data Sheet'!C31/'Historical Financial'!D38,0)</f>
        <v>7.464645476397096</v>
      </c>
      <c r="E41" s="15">
        <f>IFERROR('Data Sheet'!D31/'Historical Financial'!E38,0)</f>
        <v>7.1901628842796725</v>
      </c>
      <c r="F41" s="15">
        <f>IFERROR('Data Sheet'!E31/'Historical Financial'!F38,0)</f>
        <v>7.8445943772663158</v>
      </c>
      <c r="G41" s="15">
        <f>IFERROR('Data Sheet'!F31/'Historical Financial'!G38,0)</f>
        <v>12.047775669727558</v>
      </c>
      <c r="H41" s="15">
        <f>IFERROR('Data Sheet'!G31/'Historical Financial'!H38,0)</f>
        <v>15.366624077228833</v>
      </c>
      <c r="I41" s="15">
        <f>IFERROR('Data Sheet'!H31/'Historical Financial'!I38,0)</f>
        <v>19.889610404133016</v>
      </c>
      <c r="J41" s="15">
        <f>IFERROR('Data Sheet'!I31/'Historical Financial'!J38,0)</f>
        <v>27.012769979846279</v>
      </c>
      <c r="K41" s="15">
        <f>IFERROR('Data Sheet'!J31/'Historical Financial'!K38,0)</f>
        <v>22.077454102660166</v>
      </c>
      <c r="L41" s="15">
        <f>IFERROR('Data Sheet'!K31/'Historical Financial'!L38,0)</f>
        <v>23.443884848238596</v>
      </c>
      <c r="M41" s="21" t="s">
        <v>61</v>
      </c>
    </row>
    <row r="42" spans="1:13" ht="11.35" customHeight="1" x14ac:dyDescent="0.5">
      <c r="B42" s="12" t="s">
        <v>79</v>
      </c>
      <c r="C42" s="22">
        <f>C41/C38</f>
        <v>0.79506398729092032</v>
      </c>
      <c r="D42" s="22">
        <f>D41/D38</f>
        <v>0.37570583297347193</v>
      </c>
      <c r="E42" s="22">
        <f t="shared" ref="E42:L42" si="16">E41/E38</f>
        <v>0.34858365789544182</v>
      </c>
      <c r="F42" s="22">
        <f t="shared" si="16"/>
        <v>0.39002193525059131</v>
      </c>
      <c r="G42" s="22">
        <f t="shared" si="16"/>
        <v>0.58332555796358676</v>
      </c>
      <c r="H42" s="22">
        <f t="shared" si="16"/>
        <v>0.63264068461049938</v>
      </c>
      <c r="I42" s="22">
        <f t="shared" si="16"/>
        <v>0.70950123218285821</v>
      </c>
      <c r="J42" s="22">
        <f t="shared" si="16"/>
        <v>0.92954107259119034</v>
      </c>
      <c r="K42" s="22">
        <f t="shared" si="16"/>
        <v>0.66007689344149167</v>
      </c>
      <c r="L42" s="22">
        <f t="shared" si="16"/>
        <v>0.67326816862761985</v>
      </c>
      <c r="M42" s="23" t="s">
        <v>61</v>
      </c>
    </row>
    <row r="44" spans="1:13" ht="11.35" customHeight="1" x14ac:dyDescent="0.5">
      <c r="B44" s="24" t="s">
        <v>80</v>
      </c>
      <c r="C44" s="25">
        <f>IFERROR(IF(C38&gt;C41,C38-C41,0),0)</f>
        <v>2.7388068991723475</v>
      </c>
      <c r="D44" s="25">
        <f t="shared" ref="D44:M44" si="17">IFERROR(IF(D38&gt;D41,D38-D41,0),0)</f>
        <v>12.403679210816808</v>
      </c>
      <c r="E44" s="25">
        <f t="shared" si="17"/>
        <v>13.436629914011441</v>
      </c>
      <c r="F44" s="25">
        <f t="shared" si="17"/>
        <v>12.268618927585678</v>
      </c>
      <c r="G44" s="25">
        <f t="shared" si="17"/>
        <v>8.6058293459464199</v>
      </c>
      <c r="H44" s="25">
        <f t="shared" si="17"/>
        <v>8.9230310951849834</v>
      </c>
      <c r="I44" s="25">
        <f t="shared" si="17"/>
        <v>8.1436184359923942</v>
      </c>
      <c r="J44" s="25">
        <f t="shared" si="17"/>
        <v>2.0475596563100176</v>
      </c>
      <c r="K44" s="25">
        <f t="shared" si="17"/>
        <v>11.369337206081628</v>
      </c>
      <c r="L44" s="25">
        <f t="shared" si="17"/>
        <v>11.377135869295508</v>
      </c>
      <c r="M44" s="25">
        <f t="shared" si="17"/>
        <v>0</v>
      </c>
    </row>
    <row r="47" spans="1:13" ht="11.35" customHeight="1" x14ac:dyDescent="0.5">
      <c r="A47" t="s">
        <v>56</v>
      </c>
      <c r="B47" s="26" t="s">
        <v>81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9" spans="2:12" ht="11.35" customHeight="1" x14ac:dyDescent="0.5">
      <c r="B49" s="12" t="str">
        <f>'Data Sheet'!A57</f>
        <v>Equity Share Capital</v>
      </c>
      <c r="C49" s="15">
        <f>IFERROR('Data Sheet'!B57,0)</f>
        <v>63.11</v>
      </c>
      <c r="D49" s="15">
        <f>IFERROR('Data Sheet'!C57,0)</f>
        <v>63.11</v>
      </c>
      <c r="E49" s="15">
        <f>IFERROR('Data Sheet'!D57,0)</f>
        <v>63.11</v>
      </c>
      <c r="F49" s="15">
        <f>IFERROR('Data Sheet'!E57,0)</f>
        <v>63.11</v>
      </c>
      <c r="G49" s="15">
        <f>IFERROR('Data Sheet'!F57,0)</f>
        <v>92.16</v>
      </c>
      <c r="H49" s="15">
        <f>IFERROR('Data Sheet'!G57,0)</f>
        <v>92.16</v>
      </c>
      <c r="I49" s="15">
        <f>IFERROR('Data Sheet'!H57,0)</f>
        <v>92.16</v>
      </c>
      <c r="J49" s="15">
        <f>IFERROR('Data Sheet'!I57,0)</f>
        <v>92.9</v>
      </c>
      <c r="K49" s="15">
        <f>IFERROR('Data Sheet'!J57,0)</f>
        <v>95.28</v>
      </c>
      <c r="L49" s="15">
        <f>IFERROR('Data Sheet'!K57,0)</f>
        <v>98.95</v>
      </c>
    </row>
    <row r="50" spans="2:12" ht="11.35" customHeight="1" x14ac:dyDescent="0.5">
      <c r="B50" s="12" t="str">
        <f>'Data Sheet'!A58</f>
        <v>Reserves</v>
      </c>
      <c r="C50" s="15">
        <f>IFERROR('Data Sheet'!B58,0)</f>
        <v>6184.06</v>
      </c>
      <c r="D50" s="15">
        <f>IFERROR('Data Sheet'!C58,0)</f>
        <v>6202.39</v>
      </c>
      <c r="E50" s="15">
        <f>IFERROR('Data Sheet'!D58,0)</f>
        <v>6968.49</v>
      </c>
      <c r="F50" s="15">
        <f>IFERROR('Data Sheet'!E58,0)</f>
        <v>7268.58</v>
      </c>
      <c r="G50" s="15">
        <f>IFERROR('Data Sheet'!F58,0)</f>
        <v>13722.7</v>
      </c>
      <c r="H50" s="15">
        <f>IFERROR('Data Sheet'!G58,0)</f>
        <v>14442.35</v>
      </c>
      <c r="I50" s="15">
        <f>IFERROR('Data Sheet'!H58,0)</f>
        <v>15049.78</v>
      </c>
      <c r="J50" s="15">
        <f>IFERROR('Data Sheet'!I58,0)</f>
        <v>16183.81</v>
      </c>
      <c r="K50" s="15">
        <f>IFERROR('Data Sheet'!J58,0)</f>
        <v>15961.51</v>
      </c>
      <c r="L50" s="15">
        <f>IFERROR('Data Sheet'!K58,0)</f>
        <v>19902.13</v>
      </c>
    </row>
    <row r="51" spans="2:12" ht="11.35" customHeight="1" x14ac:dyDescent="0.5">
      <c r="B51" s="12" t="str">
        <f>'Data Sheet'!A59</f>
        <v>Borrowings</v>
      </c>
      <c r="C51" s="15">
        <f>IFERROR('Data Sheet'!B59,0)</f>
        <v>1354.05</v>
      </c>
      <c r="D51" s="15">
        <f>IFERROR('Data Sheet'!C59,0)</f>
        <v>786.56</v>
      </c>
      <c r="E51" s="15">
        <f>IFERROR('Data Sheet'!D59,0)</f>
        <v>1067.58</v>
      </c>
      <c r="F51" s="15">
        <f>IFERROR('Data Sheet'!E59,0)</f>
        <v>1141.0999999999999</v>
      </c>
      <c r="G51" s="15">
        <f>IFERROR('Data Sheet'!F59,0)</f>
        <v>1586.32</v>
      </c>
      <c r="H51" s="15">
        <f>IFERROR('Data Sheet'!G59,0)</f>
        <v>1633.55</v>
      </c>
      <c r="I51" s="15">
        <f>IFERROR('Data Sheet'!H59,0)</f>
        <v>1412.01</v>
      </c>
      <c r="J51" s="15">
        <f>IFERROR('Data Sheet'!I59,0)</f>
        <v>1600.04</v>
      </c>
      <c r="K51" s="15">
        <f>IFERROR('Data Sheet'!J59,0)</f>
        <v>3477.22</v>
      </c>
      <c r="L51" s="15">
        <f>IFERROR('Data Sheet'!K59,0)</f>
        <v>2392.6799999999998</v>
      </c>
    </row>
    <row r="52" spans="2:12" ht="11.35" customHeight="1" x14ac:dyDescent="0.5">
      <c r="B52" s="12" t="str">
        <f>'Data Sheet'!A60</f>
        <v>Other Liabilities</v>
      </c>
      <c r="C52" s="15">
        <f>IFERROR('Data Sheet'!B60,0)</f>
        <v>2293.54</v>
      </c>
      <c r="D52" s="15">
        <f>IFERROR('Data Sheet'!C60,0)</f>
        <v>2499.35</v>
      </c>
      <c r="E52" s="15">
        <f>IFERROR('Data Sheet'!D60,0)</f>
        <v>2361.58</v>
      </c>
      <c r="F52" s="15">
        <f>IFERROR('Data Sheet'!E60,0)</f>
        <v>2407.89</v>
      </c>
      <c r="G52" s="15">
        <f>IFERROR('Data Sheet'!F60,0)</f>
        <v>3071.86</v>
      </c>
      <c r="H52" s="15">
        <f>IFERROR('Data Sheet'!G60,0)</f>
        <v>4049.76</v>
      </c>
      <c r="I52" s="15">
        <f>IFERROR('Data Sheet'!H60,0)</f>
        <v>4520.92</v>
      </c>
      <c r="J52" s="15">
        <f>IFERROR('Data Sheet'!I60,0)</f>
        <v>4885.74</v>
      </c>
      <c r="K52" s="15">
        <f>IFERROR('Data Sheet'!J60,0)</f>
        <v>8344.7800000000007</v>
      </c>
      <c r="L52" s="15">
        <f>IFERROR('Data Sheet'!K60,0)</f>
        <v>9436.86</v>
      </c>
    </row>
    <row r="53" spans="2:12" ht="11.35" customHeight="1" x14ac:dyDescent="0.5">
      <c r="B53" s="29" t="s">
        <v>82</v>
      </c>
      <c r="C53" s="30">
        <f>IFERROR('Data Sheet'!B61,0)</f>
        <v>9894.76</v>
      </c>
      <c r="D53" s="30">
        <f>IFERROR('Data Sheet'!C61,0)</f>
        <v>9551.41</v>
      </c>
      <c r="E53" s="30">
        <f>IFERROR('Data Sheet'!D61,0)</f>
        <v>10460.76</v>
      </c>
      <c r="F53" s="30">
        <f>IFERROR('Data Sheet'!E61,0)</f>
        <v>10880.68</v>
      </c>
      <c r="G53" s="30">
        <f>IFERROR('Data Sheet'!F61,0)</f>
        <v>18473.04</v>
      </c>
      <c r="H53" s="30">
        <f>IFERROR('Data Sheet'!G61,0)</f>
        <v>20217.82</v>
      </c>
      <c r="I53" s="30">
        <f>IFERROR('Data Sheet'!H61,0)</f>
        <v>21074.87</v>
      </c>
      <c r="J53" s="30">
        <f>IFERROR('Data Sheet'!I61,0)</f>
        <v>22762.49</v>
      </c>
      <c r="K53" s="30">
        <f>IFERROR('Data Sheet'!J61,0)</f>
        <v>27878.79</v>
      </c>
      <c r="L53" s="30">
        <f>IFERROR('Data Sheet'!K61,0)</f>
        <v>31830.62</v>
      </c>
    </row>
    <row r="54" spans="2:12" ht="11.35" customHeight="1" x14ac:dyDescent="0.5"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spans="2:12" ht="11.35" customHeight="1" x14ac:dyDescent="0.5">
      <c r="B55" s="12" t="str">
        <f>'Data Sheet'!A62</f>
        <v>Net Block</v>
      </c>
      <c r="C55" s="15">
        <f>'Data Sheet'!B62</f>
        <v>4661.8</v>
      </c>
      <c r="D55" s="15">
        <f>'Data Sheet'!C62</f>
        <v>4572.59</v>
      </c>
      <c r="E55" s="15">
        <f>'Data Sheet'!D62</f>
        <v>4798.18</v>
      </c>
      <c r="F55" s="15">
        <f>'Data Sheet'!E62</f>
        <v>4913.3100000000004</v>
      </c>
      <c r="G55" s="15">
        <f>'Data Sheet'!F62</f>
        <v>11656.04</v>
      </c>
      <c r="H55" s="15">
        <f>'Data Sheet'!G62</f>
        <v>12023.13</v>
      </c>
      <c r="I55" s="15">
        <f>'Data Sheet'!H62</f>
        <v>12599.35</v>
      </c>
      <c r="J55" s="15">
        <f>'Data Sheet'!I62</f>
        <v>13070.04</v>
      </c>
      <c r="K55" s="15">
        <f>'Data Sheet'!J62</f>
        <v>19357.900000000001</v>
      </c>
      <c r="L55" s="15">
        <f>'Data Sheet'!K62</f>
        <v>21476.84</v>
      </c>
    </row>
    <row r="56" spans="2:12" ht="11.35" customHeight="1" x14ac:dyDescent="0.5">
      <c r="B56" s="12" t="str">
        <f>'Data Sheet'!A63</f>
        <v>Capital Work in Progress</v>
      </c>
      <c r="C56" s="15">
        <f>IFERROR('Data Sheet'!B63,0)</f>
        <v>39.42</v>
      </c>
      <c r="D56" s="15">
        <f>IFERROR('Data Sheet'!C63,0)</f>
        <v>63.19</v>
      </c>
      <c r="E56" s="15">
        <f>IFERROR('Data Sheet'!D63,0)</f>
        <v>135.16</v>
      </c>
      <c r="F56" s="15">
        <f>IFERROR('Data Sheet'!E63,0)</f>
        <v>424.41</v>
      </c>
      <c r="G56" s="15">
        <f>IFERROR('Data Sheet'!F63,0)</f>
        <v>95.35</v>
      </c>
      <c r="H56" s="15">
        <f>IFERROR('Data Sheet'!G63,0)</f>
        <v>112.85</v>
      </c>
      <c r="I56" s="15">
        <f>IFERROR('Data Sheet'!H63,0)</f>
        <v>246.97</v>
      </c>
      <c r="J56" s="15">
        <f>IFERROR('Data Sheet'!I63,0)</f>
        <v>294.89999999999998</v>
      </c>
      <c r="K56" s="15">
        <f>IFERROR('Data Sheet'!J63,0)</f>
        <v>189.6</v>
      </c>
      <c r="L56" s="15">
        <f>IFERROR('Data Sheet'!K63,0)</f>
        <v>218.1</v>
      </c>
    </row>
    <row r="57" spans="2:12" ht="11.35" customHeight="1" x14ac:dyDescent="0.5">
      <c r="B57" s="12" t="str">
        <f>'Data Sheet'!A64</f>
        <v>Investments</v>
      </c>
      <c r="C57" s="15">
        <f>IFERROR('Data Sheet'!B64,0)</f>
        <v>1365.94</v>
      </c>
      <c r="D57" s="15">
        <f>IFERROR('Data Sheet'!C64,0)</f>
        <v>1451.04</v>
      </c>
      <c r="E57" s="15">
        <f>IFERROR('Data Sheet'!D64,0)</f>
        <v>1161.33</v>
      </c>
      <c r="F57" s="15">
        <f>IFERROR('Data Sheet'!E64,0)</f>
        <v>1187.6600000000001</v>
      </c>
      <c r="G57" s="15">
        <f>IFERROR('Data Sheet'!F64,0)</f>
        <v>1322.85</v>
      </c>
      <c r="H57" s="15">
        <f>IFERROR('Data Sheet'!G64,0)</f>
        <v>805.89</v>
      </c>
      <c r="I57" s="15">
        <f>IFERROR('Data Sheet'!H64,0)</f>
        <v>797.28</v>
      </c>
      <c r="J57" s="15">
        <f>IFERROR('Data Sheet'!I64,0)</f>
        <v>1432.97</v>
      </c>
      <c r="K57" s="15">
        <f>IFERROR('Data Sheet'!J64,0)</f>
        <v>870.55</v>
      </c>
      <c r="L57" s="15">
        <f>IFERROR('Data Sheet'!K64,0)</f>
        <v>968.67</v>
      </c>
    </row>
    <row r="58" spans="2:12" ht="11.35" customHeight="1" x14ac:dyDescent="0.5">
      <c r="B58" s="12" t="str">
        <f>'Data Sheet'!A65</f>
        <v>Other Assets</v>
      </c>
      <c r="C58" s="15">
        <f>IFERROR('Data Sheet'!B65- SUM('Data Sheet'!B67:B69),0)</f>
        <v>1105.1299999999997</v>
      </c>
      <c r="D58" s="15">
        <f>IFERROR('Data Sheet'!C65- SUM('Data Sheet'!C67:C69),0)</f>
        <v>844.36000000000013</v>
      </c>
      <c r="E58" s="15">
        <f>IFERROR('Data Sheet'!D65- SUM('Data Sheet'!D67:D69),0)</f>
        <v>1031.3599999999997</v>
      </c>
      <c r="F58" s="15">
        <f>IFERROR('Data Sheet'!E65- SUM('Data Sheet'!E67:E69),0)</f>
        <v>1032.6000000000004</v>
      </c>
      <c r="G58" s="15">
        <f>IFERROR('Data Sheet'!F65- SUM('Data Sheet'!F67:F69),0)</f>
        <v>1142.9000000000005</v>
      </c>
      <c r="H58" s="15">
        <f>IFERROR('Data Sheet'!G65- SUM('Data Sheet'!G67:G69),0)</f>
        <v>1190.5899999999992</v>
      </c>
      <c r="I58" s="15">
        <f>IFERROR('Data Sheet'!H65- SUM('Data Sheet'!H67:H69),0)</f>
        <v>1729.7200000000003</v>
      </c>
      <c r="J58" s="15">
        <f>IFERROR('Data Sheet'!I65- SUM('Data Sheet'!I67:I69),0)</f>
        <v>1667.6399999999994</v>
      </c>
      <c r="K58" s="15">
        <f>IFERROR('Data Sheet'!J65- SUM('Data Sheet'!J67:J69),0)</f>
        <v>1340.1499999999996</v>
      </c>
      <c r="L58" s="15">
        <f>IFERROR('Data Sheet'!K65- SUM('Data Sheet'!K67:K69),0)</f>
        <v>1879.4500000000007</v>
      </c>
    </row>
    <row r="59" spans="2:12" ht="11.35" customHeight="1" x14ac:dyDescent="0.5">
      <c r="B59" s="29" t="s">
        <v>83</v>
      </c>
      <c r="C59" s="30">
        <f>IFERROR(SUM(C55:C58),0)</f>
        <v>7172.2899999999991</v>
      </c>
      <c r="D59" s="30">
        <f t="shared" ref="D59:L59" si="18">IFERROR(SUM(D55:D58),0)</f>
        <v>6931.18</v>
      </c>
      <c r="E59" s="30">
        <f t="shared" si="18"/>
        <v>7126.03</v>
      </c>
      <c r="F59" s="30">
        <f t="shared" si="18"/>
        <v>7557.9800000000005</v>
      </c>
      <c r="G59" s="30">
        <f t="shared" si="18"/>
        <v>14217.140000000003</v>
      </c>
      <c r="H59" s="30">
        <f t="shared" si="18"/>
        <v>14132.46</v>
      </c>
      <c r="I59" s="30">
        <f t="shared" si="18"/>
        <v>15373.32</v>
      </c>
      <c r="J59" s="30">
        <f t="shared" si="18"/>
        <v>16465.55</v>
      </c>
      <c r="K59" s="30">
        <f t="shared" si="18"/>
        <v>21758.199999999997</v>
      </c>
      <c r="L59" s="30">
        <f t="shared" si="18"/>
        <v>24543.059999999998</v>
      </c>
    </row>
    <row r="60" spans="2:12" ht="11.35" customHeight="1" x14ac:dyDescent="0.5">
      <c r="B60" s="12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spans="2:12" ht="11.35" customHeight="1" x14ac:dyDescent="0.5">
      <c r="B61" s="12" t="str">
        <f>'Data Sheet'!A67</f>
        <v>Receivables</v>
      </c>
      <c r="C61" s="15">
        <f>IFERROR('Data Sheet'!B67,0)</f>
        <v>592.42999999999995</v>
      </c>
      <c r="D61" s="15">
        <f>IFERROR('Data Sheet'!C67,0)</f>
        <v>592.45000000000005</v>
      </c>
      <c r="E61" s="15">
        <f>IFERROR('Data Sheet'!D67,0)</f>
        <v>648.28</v>
      </c>
      <c r="F61" s="15">
        <f>IFERROR('Data Sheet'!E67,0)</f>
        <v>680.55</v>
      </c>
      <c r="G61" s="15">
        <f>IFERROR('Data Sheet'!F67,0)</f>
        <v>922.41</v>
      </c>
      <c r="H61" s="15">
        <f>IFERROR('Data Sheet'!G67,0)</f>
        <v>761.32</v>
      </c>
      <c r="I61" s="15">
        <f>IFERROR('Data Sheet'!H67,0)</f>
        <v>835.15</v>
      </c>
      <c r="J61" s="15">
        <f>IFERROR('Data Sheet'!I67,0)</f>
        <v>798.33</v>
      </c>
      <c r="K61" s="15">
        <f>IFERROR('Data Sheet'!J67,0)</f>
        <v>896.75</v>
      </c>
      <c r="L61" s="15">
        <f>IFERROR('Data Sheet'!K67,0)</f>
        <v>869.79</v>
      </c>
    </row>
    <row r="62" spans="2:12" ht="11.35" customHeight="1" x14ac:dyDescent="0.5">
      <c r="B62" s="12" t="str">
        <f>'Data Sheet'!A68</f>
        <v>Inventory</v>
      </c>
      <c r="C62" s="15">
        <f>IFERROR('Data Sheet'!B68,0)</f>
        <v>1629.01</v>
      </c>
      <c r="D62" s="15">
        <f>IFERROR('Data Sheet'!C68,0)</f>
        <v>1452.96</v>
      </c>
      <c r="E62" s="15">
        <f>IFERROR('Data Sheet'!D68,0)</f>
        <v>1448.31</v>
      </c>
      <c r="F62" s="15">
        <f>IFERROR('Data Sheet'!E68,0)</f>
        <v>1608.54</v>
      </c>
      <c r="G62" s="15">
        <f>IFERROR('Data Sheet'!F68,0)</f>
        <v>1712.03</v>
      </c>
      <c r="H62" s="15">
        <f>IFERROR('Data Sheet'!G68,0)</f>
        <v>2249.16</v>
      </c>
      <c r="I62" s="15">
        <f>IFERROR('Data Sheet'!H68,0)</f>
        <v>2266.5100000000002</v>
      </c>
      <c r="J62" s="15">
        <f>IFERROR('Data Sheet'!I68,0)</f>
        <v>2701.67</v>
      </c>
      <c r="K62" s="15">
        <f>IFERROR('Data Sheet'!J68,0)</f>
        <v>2769.35</v>
      </c>
      <c r="L62" s="15">
        <f>IFERROR('Data Sheet'!K68,0)</f>
        <v>3599.91</v>
      </c>
    </row>
    <row r="63" spans="2:12" ht="11.35" customHeight="1" x14ac:dyDescent="0.5">
      <c r="B63" s="12" t="str">
        <f>'Data Sheet'!A69</f>
        <v>Cash &amp; Bank</v>
      </c>
      <c r="C63" s="15">
        <f>IFERROR('Data Sheet'!B69,0)</f>
        <v>501.03</v>
      </c>
      <c r="D63" s="15">
        <f>IFERROR('Data Sheet'!C69,0)</f>
        <v>574.82000000000005</v>
      </c>
      <c r="E63" s="15">
        <f>IFERROR('Data Sheet'!D69,0)</f>
        <v>1238.1400000000001</v>
      </c>
      <c r="F63" s="15">
        <f>IFERROR('Data Sheet'!E69,0)</f>
        <v>1033.6099999999999</v>
      </c>
      <c r="G63" s="15">
        <f>IFERROR('Data Sheet'!F69,0)</f>
        <v>1621.46</v>
      </c>
      <c r="H63" s="15">
        <f>IFERROR('Data Sheet'!G69,0)</f>
        <v>3074.88</v>
      </c>
      <c r="I63" s="15">
        <f>IFERROR('Data Sheet'!H69,0)</f>
        <v>2599.89</v>
      </c>
      <c r="J63" s="15">
        <f>IFERROR('Data Sheet'!I69,0)</f>
        <v>2796.94</v>
      </c>
      <c r="K63" s="15">
        <f>IFERROR('Data Sheet'!J69,0)</f>
        <v>2454.4899999999998</v>
      </c>
      <c r="L63" s="15">
        <f>IFERROR('Data Sheet'!K69,0)</f>
        <v>2817.86</v>
      </c>
    </row>
    <row r="64" spans="2:12" ht="11.35" customHeight="1" x14ac:dyDescent="0.5">
      <c r="B64" s="29" t="s">
        <v>84</v>
      </c>
      <c r="C64" s="30">
        <f>IFERROR(SUM(C61:C63),0)</f>
        <v>2722.4700000000003</v>
      </c>
      <c r="D64" s="30">
        <f t="shared" ref="D64:L64" si="19">IFERROR(SUM(D61:D63),0)</f>
        <v>2620.23</v>
      </c>
      <c r="E64" s="30">
        <f t="shared" si="19"/>
        <v>3334.7300000000005</v>
      </c>
      <c r="F64" s="30">
        <f t="shared" si="19"/>
        <v>3322.7</v>
      </c>
      <c r="G64" s="30">
        <f t="shared" si="19"/>
        <v>4255.8999999999996</v>
      </c>
      <c r="H64" s="30">
        <f t="shared" si="19"/>
        <v>6085.3600000000006</v>
      </c>
      <c r="I64" s="30">
        <f t="shared" si="19"/>
        <v>5701.55</v>
      </c>
      <c r="J64" s="30">
        <f t="shared" si="19"/>
        <v>6296.9400000000005</v>
      </c>
      <c r="K64" s="30">
        <f t="shared" si="19"/>
        <v>6120.59</v>
      </c>
      <c r="L64" s="30">
        <f t="shared" si="19"/>
        <v>7287.5599999999995</v>
      </c>
    </row>
    <row r="65" spans="2:12" ht="11.35" customHeight="1" x14ac:dyDescent="0.5"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spans="2:12" ht="11.35" customHeight="1" x14ac:dyDescent="0.5">
      <c r="B66" s="29" t="s">
        <v>85</v>
      </c>
      <c r="C66" s="30">
        <f>SUM(C59,C64)</f>
        <v>9894.7599999999984</v>
      </c>
      <c r="D66" s="30">
        <f t="shared" ref="D66:L66" si="20">SUM(D59,D64)</f>
        <v>9551.41</v>
      </c>
      <c r="E66" s="30">
        <f t="shared" si="20"/>
        <v>10460.76</v>
      </c>
      <c r="F66" s="30">
        <f t="shared" si="20"/>
        <v>10880.68</v>
      </c>
      <c r="G66" s="30">
        <f t="shared" si="20"/>
        <v>18473.04</v>
      </c>
      <c r="H66" s="30">
        <f t="shared" si="20"/>
        <v>20217.82</v>
      </c>
      <c r="I66" s="30">
        <f t="shared" si="20"/>
        <v>21074.87</v>
      </c>
      <c r="J66" s="30">
        <f t="shared" si="20"/>
        <v>22762.489999999998</v>
      </c>
      <c r="K66" s="30">
        <f t="shared" si="20"/>
        <v>27878.789999999997</v>
      </c>
      <c r="L66" s="30">
        <f t="shared" si="20"/>
        <v>31830.619999999995</v>
      </c>
    </row>
    <row r="68" spans="2:12" ht="11.35" customHeight="1" x14ac:dyDescent="0.5">
      <c r="B68" s="27" t="s">
        <v>86</v>
      </c>
      <c r="C68" s="20" t="b">
        <f>IF(C53=C66,TRUE, FALSE)</f>
        <v>1</v>
      </c>
      <c r="D68" s="20" t="b">
        <f t="shared" ref="D68:L68" si="21">IF(D53=D66,TRUE, FALSE)</f>
        <v>1</v>
      </c>
      <c r="E68" s="20" t="b">
        <f t="shared" si="21"/>
        <v>1</v>
      </c>
      <c r="F68" s="20" t="b">
        <f t="shared" si="21"/>
        <v>1</v>
      </c>
      <c r="G68" s="20" t="b">
        <f t="shared" si="21"/>
        <v>1</v>
      </c>
      <c r="H68" s="20" t="b">
        <f t="shared" si="21"/>
        <v>1</v>
      </c>
      <c r="I68" s="20" t="b">
        <f t="shared" si="21"/>
        <v>1</v>
      </c>
      <c r="J68" s="20" t="b">
        <f t="shared" si="21"/>
        <v>1</v>
      </c>
      <c r="K68" s="20" t="b">
        <f t="shared" si="21"/>
        <v>1</v>
      </c>
      <c r="L68" s="20" t="b">
        <f t="shared" si="21"/>
        <v>1</v>
      </c>
    </row>
    <row r="69" spans="2:12" ht="11.35" customHeight="1" x14ac:dyDescent="0.45">
      <c r="C69" s="28">
        <f>C53-C66</f>
        <v>0</v>
      </c>
      <c r="D69" s="28">
        <f t="shared" ref="D69:L69" si="22">D53-D66</f>
        <v>0</v>
      </c>
      <c r="E69" s="28">
        <f t="shared" si="22"/>
        <v>0</v>
      </c>
      <c r="F69" s="28">
        <f t="shared" si="22"/>
        <v>0</v>
      </c>
      <c r="G69" s="28">
        <f t="shared" si="22"/>
        <v>0</v>
      </c>
      <c r="H69" s="28">
        <f t="shared" si="22"/>
        <v>0</v>
      </c>
      <c r="I69" s="28">
        <f t="shared" si="22"/>
        <v>0</v>
      </c>
      <c r="J69" s="28">
        <f t="shared" si="22"/>
        <v>0</v>
      </c>
      <c r="K69" s="28">
        <f t="shared" si="22"/>
        <v>0</v>
      </c>
      <c r="L69" s="28">
        <f t="shared" si="22"/>
        <v>0</v>
      </c>
    </row>
    <row r="92" spans="1:13" ht="11.35" customHeight="1" x14ac:dyDescent="0.5">
      <c r="A92" t="s">
        <v>56</v>
      </c>
      <c r="B92" s="26" t="s">
        <v>87</v>
      </c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4" spans="1:13" ht="11.35" customHeight="1" x14ac:dyDescent="0.5">
      <c r="B94" s="35" t="s">
        <v>118</v>
      </c>
    </row>
    <row r="95" spans="1:13" ht="11.35" customHeight="1" x14ac:dyDescent="0.5">
      <c r="B95" s="12" t="str">
        <f>'Cashflow Data '!B4</f>
        <v>Profit from operations</v>
      </c>
      <c r="C95" s="15">
        <f>'Cashflow Data '!C4</f>
        <v>650</v>
      </c>
      <c r="D95" s="15">
        <f>'Cashflow Data '!D4</f>
        <v>803</v>
      </c>
      <c r="E95" s="15">
        <f>'Cashflow Data '!E4</f>
        <v>794</v>
      </c>
      <c r="F95" s="15">
        <f>'Cashflow Data '!F4</f>
        <v>799</v>
      </c>
      <c r="G95" s="15">
        <f>'Cashflow Data '!G4</f>
        <v>1293</v>
      </c>
      <c r="H95" s="15">
        <f>'Cashflow Data '!H4</f>
        <v>1579</v>
      </c>
      <c r="I95" s="15">
        <f>'Cashflow Data '!I4</f>
        <v>1749</v>
      </c>
      <c r="J95" s="15">
        <f>'Cashflow Data '!J4</f>
        <v>1875</v>
      </c>
      <c r="K95" s="15">
        <f>'Cashflow Data '!K4</f>
        <v>2323</v>
      </c>
      <c r="L95" s="15">
        <f>'Cashflow Data '!L4</f>
        <v>2514</v>
      </c>
    </row>
    <row r="96" spans="1:13" ht="11.35" customHeight="1" x14ac:dyDescent="0.5">
      <c r="B96" s="12" t="str">
        <f>'Cashflow Data '!B5</f>
        <v>Receivables</v>
      </c>
      <c r="C96" s="15">
        <f>'Cashflow Data '!C5</f>
        <v>-48</v>
      </c>
      <c r="D96" s="15">
        <f>'Cashflow Data '!D5</f>
        <v>-60</v>
      </c>
      <c r="E96" s="15">
        <f>'Cashflow Data '!E5</f>
        <v>-114</v>
      </c>
      <c r="F96" s="15">
        <f>'Cashflow Data '!F5</f>
        <v>-133</v>
      </c>
      <c r="G96" s="15">
        <f>'Cashflow Data '!G5</f>
        <v>-177</v>
      </c>
      <c r="H96" s="15">
        <f>'Cashflow Data '!H5</f>
        <v>186</v>
      </c>
      <c r="I96" s="15">
        <f>'Cashflow Data '!I5</f>
        <v>-149</v>
      </c>
      <c r="J96" s="15">
        <f>'Cashflow Data '!J5</f>
        <v>-36</v>
      </c>
      <c r="K96" s="15">
        <f>'Cashflow Data '!K5</f>
        <v>-45</v>
      </c>
      <c r="L96" s="15">
        <f>'Cashflow Data '!L5</f>
        <v>36</v>
      </c>
    </row>
    <row r="97" spans="2:12" ht="11.35" customHeight="1" x14ac:dyDescent="0.5">
      <c r="B97" s="12" t="str">
        <f>'Cashflow Data '!B6</f>
        <v>Inventory</v>
      </c>
      <c r="C97" s="15">
        <f>'Cashflow Data '!C6</f>
        <v>-70</v>
      </c>
      <c r="D97" s="15">
        <f>'Cashflow Data '!D6</f>
        <v>158</v>
      </c>
      <c r="E97" s="15">
        <f>'Cashflow Data '!E6</f>
        <v>-13</v>
      </c>
      <c r="F97" s="15">
        <f>'Cashflow Data '!F6</f>
        <v>-156</v>
      </c>
      <c r="G97" s="15">
        <f>'Cashflow Data '!G6</f>
        <v>81</v>
      </c>
      <c r="H97" s="15">
        <f>'Cashflow Data '!H6</f>
        <v>-533</v>
      </c>
      <c r="I97" s="15">
        <f>'Cashflow Data '!I6</f>
        <v>-1</v>
      </c>
      <c r="J97" s="15">
        <f>'Cashflow Data '!J6</f>
        <v>-368</v>
      </c>
      <c r="K97" s="15">
        <f>'Cashflow Data '!K6</f>
        <v>-3</v>
      </c>
      <c r="L97" s="15">
        <f>'Cashflow Data '!L6</f>
        <v>-734</v>
      </c>
    </row>
    <row r="98" spans="2:12" ht="11.35" customHeight="1" x14ac:dyDescent="0.5">
      <c r="B98" s="12" t="str">
        <f>'Cashflow Data '!B7</f>
        <v>Payables</v>
      </c>
      <c r="C98" s="15">
        <f>'Cashflow Data '!C7</f>
        <v>-153</v>
      </c>
      <c r="D98" s="15">
        <f>'Cashflow Data '!D7</f>
        <v>51</v>
      </c>
      <c r="E98" s="15">
        <f>'Cashflow Data '!E7</f>
        <v>-12</v>
      </c>
      <c r="F98" s="15">
        <f>'Cashflow Data '!F7</f>
        <v>-133</v>
      </c>
      <c r="G98" s="15">
        <f>'Cashflow Data '!G7</f>
        <v>14</v>
      </c>
      <c r="H98" s="15">
        <f>'Cashflow Data '!H7</f>
        <v>531</v>
      </c>
      <c r="I98" s="15">
        <f>'Cashflow Data '!I7</f>
        <v>152</v>
      </c>
      <c r="J98" s="15">
        <f>'Cashflow Data '!J7</f>
        <v>379</v>
      </c>
      <c r="K98" s="15">
        <f>'Cashflow Data '!K7</f>
        <v>60</v>
      </c>
      <c r="L98" s="15">
        <f>'Cashflow Data '!L7</f>
        <v>704</v>
      </c>
    </row>
    <row r="99" spans="2:12" ht="11.35" customHeight="1" x14ac:dyDescent="0.5">
      <c r="B99" s="12" t="str">
        <f>'Cashflow Data '!B8</f>
        <v>Working capital changes</v>
      </c>
      <c r="C99" s="15">
        <f>'Cashflow Data '!C8</f>
        <v>-272</v>
      </c>
      <c r="D99" s="15">
        <f>'Cashflow Data '!D8</f>
        <v>148</v>
      </c>
      <c r="E99" s="15">
        <f>'Cashflow Data '!E8</f>
        <v>-139</v>
      </c>
      <c r="F99" s="15">
        <f>'Cashflow Data '!F8</f>
        <v>-422</v>
      </c>
      <c r="G99" s="15">
        <f>'Cashflow Data '!G8</f>
        <v>-82</v>
      </c>
      <c r="H99" s="15">
        <f>'Cashflow Data '!H8</f>
        <v>183</v>
      </c>
      <c r="I99" s="15">
        <f>'Cashflow Data '!I8</f>
        <v>2</v>
      </c>
      <c r="J99" s="15">
        <f>'Cashflow Data '!J8</f>
        <v>-25</v>
      </c>
      <c r="K99" s="15">
        <f>'Cashflow Data '!K8</f>
        <v>11</v>
      </c>
      <c r="L99" s="15">
        <f>'Cashflow Data '!L8</f>
        <v>5</v>
      </c>
    </row>
    <row r="100" spans="2:12" ht="11.35" customHeight="1" x14ac:dyDescent="0.5">
      <c r="B100" s="12" t="str">
        <f>'Cashflow Data '!B9</f>
        <v>Direct taxes</v>
      </c>
      <c r="C100" s="15">
        <f>'Cashflow Data '!C9</f>
        <v>-234</v>
      </c>
      <c r="D100" s="15">
        <f>'Cashflow Data '!D9</f>
        <v>-211</v>
      </c>
      <c r="E100" s="15">
        <f>'Cashflow Data '!E9</f>
        <v>-299</v>
      </c>
      <c r="F100" s="15">
        <f>'Cashflow Data '!F9</f>
        <v>-167</v>
      </c>
      <c r="G100" s="15">
        <f>'Cashflow Data '!G9</f>
        <v>-128</v>
      </c>
      <c r="H100" s="15">
        <f>'Cashflow Data '!H9</f>
        <v>-106</v>
      </c>
      <c r="I100" s="15">
        <f>'Cashflow Data '!I9</f>
        <v>-235</v>
      </c>
      <c r="J100" s="15">
        <f>'Cashflow Data '!J9</f>
        <v>-389</v>
      </c>
      <c r="K100" s="15">
        <f>'Cashflow Data '!K9</f>
        <v>-398</v>
      </c>
      <c r="L100" s="15">
        <f>'Cashflow Data '!L9</f>
        <v>-462</v>
      </c>
    </row>
    <row r="101" spans="2:12" ht="11.35" customHeight="1" x14ac:dyDescent="0.5">
      <c r="B101" s="12" t="str">
        <f>'Cashflow Data '!B10</f>
        <v>Other operating items</v>
      </c>
      <c r="C101" s="15">
        <f>'Cashflow Data '!C10</f>
        <v>-28</v>
      </c>
      <c r="D101" s="15">
        <f>'Cashflow Data '!D10</f>
        <v>0</v>
      </c>
      <c r="E101" s="15">
        <f>'Cashflow Data '!E10</f>
        <v>0</v>
      </c>
      <c r="F101" s="15">
        <f>'Cashflow Data '!F10</f>
        <v>0</v>
      </c>
      <c r="G101" s="15">
        <f>'Cashflow Data '!G10</f>
        <v>0</v>
      </c>
      <c r="H101" s="15">
        <f>'Cashflow Data '!H10</f>
        <v>0</v>
      </c>
      <c r="I101" s="15">
        <f>'Cashflow Data '!I10</f>
        <v>0</v>
      </c>
      <c r="J101" s="15">
        <f>'Cashflow Data '!J10</f>
        <v>0</v>
      </c>
      <c r="K101" s="15">
        <f>'Cashflow Data '!K10</f>
        <v>0</v>
      </c>
      <c r="L101" s="15">
        <f>'Cashflow Data '!L10</f>
        <v>0</v>
      </c>
    </row>
    <row r="102" spans="2:12" ht="11.35" customHeight="1" x14ac:dyDescent="0.5">
      <c r="B102" s="33" t="s">
        <v>6</v>
      </c>
      <c r="C102" s="34">
        <f>C95+C100+C101+C99</f>
        <v>116</v>
      </c>
      <c r="D102" s="34">
        <f t="shared" ref="D102:L102" si="23">D95+D100+D101+D99</f>
        <v>740</v>
      </c>
      <c r="E102" s="34">
        <f t="shared" si="23"/>
        <v>356</v>
      </c>
      <c r="F102" s="34">
        <f t="shared" si="23"/>
        <v>210</v>
      </c>
      <c r="G102" s="34">
        <f t="shared" si="23"/>
        <v>1083</v>
      </c>
      <c r="H102" s="34">
        <f t="shared" si="23"/>
        <v>1656</v>
      </c>
      <c r="I102" s="34">
        <f t="shared" si="23"/>
        <v>1516</v>
      </c>
      <c r="J102" s="34">
        <f t="shared" si="23"/>
        <v>1461</v>
      </c>
      <c r="K102" s="34">
        <f t="shared" si="23"/>
        <v>1936</v>
      </c>
      <c r="L102" s="34">
        <f t="shared" si="23"/>
        <v>2057</v>
      </c>
    </row>
    <row r="104" spans="2:12" ht="11.35" customHeight="1" x14ac:dyDescent="0.5">
      <c r="B104" s="35" t="s">
        <v>119</v>
      </c>
    </row>
    <row r="105" spans="2:12" ht="11.35" customHeight="1" x14ac:dyDescent="0.5">
      <c r="B105" s="12" t="s">
        <v>93</v>
      </c>
      <c r="C105" s="15">
        <f>'Cashflow Data '!C12</f>
        <v>-154</v>
      </c>
      <c r="D105" s="15">
        <f>'Cashflow Data '!D12</f>
        <v>-138</v>
      </c>
      <c r="E105" s="15">
        <f>'Cashflow Data '!E12</f>
        <v>-359</v>
      </c>
      <c r="F105" s="15">
        <f>'Cashflow Data '!F12</f>
        <v>-282</v>
      </c>
      <c r="G105" s="15">
        <f>'Cashflow Data '!G12</f>
        <v>-160</v>
      </c>
      <c r="H105" s="15">
        <f>'Cashflow Data '!H12</f>
        <v>-211</v>
      </c>
      <c r="I105" s="15">
        <f>'Cashflow Data '!I12</f>
        <v>-273</v>
      </c>
      <c r="J105" s="15">
        <f>'Cashflow Data '!J12</f>
        <v>-312</v>
      </c>
      <c r="K105" s="15">
        <f>'Cashflow Data '!K12</f>
        <v>-335</v>
      </c>
      <c r="L105" s="15">
        <f>'Cashflow Data '!L12</f>
        <v>-460</v>
      </c>
    </row>
    <row r="106" spans="2:12" ht="11.35" customHeight="1" x14ac:dyDescent="0.5">
      <c r="B106" s="12" t="s">
        <v>94</v>
      </c>
      <c r="C106" s="15">
        <f>'Cashflow Data '!C13</f>
        <v>8</v>
      </c>
      <c r="D106" s="15">
        <f>'Cashflow Data '!D13</f>
        <v>6</v>
      </c>
      <c r="E106" s="15">
        <f>'Cashflow Data '!E13</f>
        <v>9</v>
      </c>
      <c r="F106" s="15">
        <f>'Cashflow Data '!F13</f>
        <v>26</v>
      </c>
      <c r="G106" s="15">
        <f>'Cashflow Data '!G13</f>
        <v>9</v>
      </c>
      <c r="H106" s="15">
        <f>'Cashflow Data '!H13</f>
        <v>32</v>
      </c>
      <c r="I106" s="15">
        <f>'Cashflow Data '!I13</f>
        <v>27</v>
      </c>
      <c r="J106" s="15">
        <f>'Cashflow Data '!J13</f>
        <v>172</v>
      </c>
      <c r="K106" s="15">
        <f>'Cashflow Data '!K13</f>
        <v>24</v>
      </c>
      <c r="L106" s="15">
        <f>'Cashflow Data '!L13</f>
        <v>45</v>
      </c>
    </row>
    <row r="107" spans="2:12" ht="11.35" customHeight="1" x14ac:dyDescent="0.5">
      <c r="B107" s="12" t="s">
        <v>95</v>
      </c>
      <c r="C107" s="15">
        <f>'Cashflow Data '!C14</f>
        <v>0</v>
      </c>
      <c r="D107" s="15">
        <f>'Cashflow Data '!D14</f>
        <v>0</v>
      </c>
      <c r="E107" s="15">
        <f>'Cashflow Data '!E14</f>
        <v>-372</v>
      </c>
      <c r="F107" s="15">
        <f>'Cashflow Data '!F14</f>
        <v>0</v>
      </c>
      <c r="G107" s="15">
        <f>'Cashflow Data '!G14</f>
        <v>-222</v>
      </c>
      <c r="H107" s="15">
        <f>'Cashflow Data '!H14</f>
        <v>0</v>
      </c>
      <c r="I107" s="15">
        <f>'Cashflow Data '!I14</f>
        <v>0</v>
      </c>
      <c r="J107" s="15">
        <f>'Cashflow Data '!J14</f>
        <v>-533</v>
      </c>
      <c r="K107" s="15">
        <f>'Cashflow Data '!K14</f>
        <v>0</v>
      </c>
      <c r="L107" s="15">
        <f>'Cashflow Data '!L14</f>
        <v>-29</v>
      </c>
    </row>
    <row r="108" spans="2:12" ht="11.35" customHeight="1" x14ac:dyDescent="0.5">
      <c r="B108" s="12" t="s">
        <v>96</v>
      </c>
      <c r="C108" s="15">
        <f>'Cashflow Data '!C15</f>
        <v>175</v>
      </c>
      <c r="D108" s="15">
        <f>'Cashflow Data '!D15</f>
        <v>14</v>
      </c>
      <c r="E108" s="15">
        <f>'Cashflow Data '!E15</f>
        <v>811</v>
      </c>
      <c r="F108" s="15">
        <f>'Cashflow Data '!F15</f>
        <v>26</v>
      </c>
      <c r="G108" s="15">
        <f>'Cashflow Data '!G15</f>
        <v>65</v>
      </c>
      <c r="H108" s="15">
        <f>'Cashflow Data '!H15</f>
        <v>523</v>
      </c>
      <c r="I108" s="15">
        <f>'Cashflow Data '!I15</f>
        <v>136</v>
      </c>
      <c r="J108" s="15">
        <f>'Cashflow Data '!J15</f>
        <v>4</v>
      </c>
      <c r="K108" s="15">
        <f>'Cashflow Data '!K15</f>
        <v>710</v>
      </c>
      <c r="L108" s="15">
        <f>'Cashflow Data '!L15</f>
        <v>0</v>
      </c>
    </row>
    <row r="109" spans="2:12" ht="11.35" customHeight="1" x14ac:dyDescent="0.5">
      <c r="B109" s="12" t="s">
        <v>97</v>
      </c>
      <c r="C109" s="15">
        <f>'Cashflow Data '!C16</f>
        <v>0</v>
      </c>
      <c r="D109" s="15">
        <f>'Cashflow Data '!D16</f>
        <v>0</v>
      </c>
      <c r="E109" s="15">
        <f>'Cashflow Data '!E16</f>
        <v>0</v>
      </c>
      <c r="F109" s="15">
        <f>'Cashflow Data '!F16</f>
        <v>0</v>
      </c>
      <c r="G109" s="15">
        <f>'Cashflow Data '!G16</f>
        <v>0</v>
      </c>
      <c r="H109" s="15">
        <f>'Cashflow Data '!H16</f>
        <v>0</v>
      </c>
      <c r="I109" s="15">
        <f>'Cashflow Data '!I16</f>
        <v>0</v>
      </c>
      <c r="J109" s="15">
        <f>'Cashflow Data '!J16</f>
        <v>0</v>
      </c>
      <c r="K109" s="15">
        <f>'Cashflow Data '!K16</f>
        <v>0</v>
      </c>
      <c r="L109" s="15">
        <f>'Cashflow Data '!L16</f>
        <v>0</v>
      </c>
    </row>
    <row r="110" spans="2:12" ht="11.35" customHeight="1" x14ac:dyDescent="0.5">
      <c r="B110" s="12" t="s">
        <v>98</v>
      </c>
      <c r="C110" s="15">
        <f>'Cashflow Data '!C17</f>
        <v>17</v>
      </c>
      <c r="D110" s="15">
        <f>'Cashflow Data '!D17</f>
        <v>29</v>
      </c>
      <c r="E110" s="15">
        <f>'Cashflow Data '!E17</f>
        <v>33</v>
      </c>
      <c r="F110" s="15">
        <f>'Cashflow Data '!F17</f>
        <v>49</v>
      </c>
      <c r="G110" s="15">
        <f>'Cashflow Data '!G17</f>
        <v>51</v>
      </c>
      <c r="H110" s="15">
        <f>'Cashflow Data '!H17</f>
        <v>68</v>
      </c>
      <c r="I110" s="15">
        <f>'Cashflow Data '!I17</f>
        <v>75</v>
      </c>
      <c r="J110" s="15">
        <f>'Cashflow Data '!J17</f>
        <v>109</v>
      </c>
      <c r="K110" s="15">
        <f>'Cashflow Data '!K17</f>
        <v>187</v>
      </c>
      <c r="L110" s="15">
        <f>'Cashflow Data '!L17</f>
        <v>111</v>
      </c>
    </row>
    <row r="111" spans="2:12" ht="11.35" customHeight="1" x14ac:dyDescent="0.5">
      <c r="B111" s="12" t="s">
        <v>99</v>
      </c>
      <c r="C111" s="15">
        <f>'Cashflow Data '!C18</f>
        <v>53</v>
      </c>
      <c r="D111" s="15">
        <f>'Cashflow Data '!D18</f>
        <v>29</v>
      </c>
      <c r="E111" s="15">
        <f>'Cashflow Data '!E18</f>
        <v>16</v>
      </c>
      <c r="F111" s="15">
        <f>'Cashflow Data '!F18</f>
        <v>5</v>
      </c>
      <c r="G111" s="15">
        <f>'Cashflow Data '!G18</f>
        <v>5</v>
      </c>
      <c r="H111" s="15">
        <f>'Cashflow Data '!H18</f>
        <v>5</v>
      </c>
      <c r="I111" s="15">
        <f>'Cashflow Data '!I18</f>
        <v>13</v>
      </c>
      <c r="J111" s="15">
        <f>'Cashflow Data '!J18</f>
        <v>13</v>
      </c>
      <c r="K111" s="15">
        <f>'Cashflow Data '!K18</f>
        <v>4</v>
      </c>
      <c r="L111" s="15">
        <f>'Cashflow Data '!L18</f>
        <v>7</v>
      </c>
    </row>
    <row r="112" spans="2:12" ht="11.35" customHeight="1" x14ac:dyDescent="0.5">
      <c r="B112" s="12" t="s">
        <v>100</v>
      </c>
      <c r="C112" s="15">
        <f>'Cashflow Data '!C19</f>
        <v>0</v>
      </c>
      <c r="D112" s="15">
        <f>'Cashflow Data '!D19</f>
        <v>0</v>
      </c>
      <c r="E112" s="15">
        <f>'Cashflow Data '!E19</f>
        <v>0</v>
      </c>
      <c r="F112" s="15">
        <f>'Cashflow Data '!F19</f>
        <v>0</v>
      </c>
      <c r="G112" s="15">
        <f>'Cashflow Data '!G19</f>
        <v>0</v>
      </c>
      <c r="H112" s="15">
        <f>'Cashflow Data '!H19</f>
        <v>0</v>
      </c>
      <c r="I112" s="15">
        <f>'Cashflow Data '!I19</f>
        <v>0</v>
      </c>
      <c r="J112" s="15">
        <f>'Cashflow Data '!J19</f>
        <v>0</v>
      </c>
      <c r="K112" s="15">
        <f>'Cashflow Data '!K19</f>
        <v>0</v>
      </c>
      <c r="L112" s="15">
        <f>'Cashflow Data '!L19</f>
        <v>0</v>
      </c>
    </row>
    <row r="113" spans="2:12" ht="11.35" customHeight="1" x14ac:dyDescent="0.5">
      <c r="B113" s="12" t="s">
        <v>101</v>
      </c>
      <c r="C113" s="15">
        <f>'Cashflow Data '!C20</f>
        <v>-51</v>
      </c>
      <c r="D113" s="15">
        <f>'Cashflow Data '!D20</f>
        <v>-28</v>
      </c>
      <c r="E113" s="15">
        <f>'Cashflow Data '!E20</f>
        <v>-13</v>
      </c>
      <c r="F113" s="15">
        <f>'Cashflow Data '!F20</f>
        <v>-36</v>
      </c>
      <c r="G113" s="15">
        <f>'Cashflow Data '!G20</f>
        <v>-53</v>
      </c>
      <c r="H113" s="15">
        <f>'Cashflow Data '!H20</f>
        <v>-112</v>
      </c>
      <c r="I113" s="15">
        <f>'Cashflow Data '!I20</f>
        <v>-236</v>
      </c>
      <c r="J113" s="15">
        <f>'Cashflow Data '!J20</f>
        <v>-150</v>
      </c>
      <c r="K113" s="15">
        <f>'Cashflow Data '!K20</f>
        <v>-25</v>
      </c>
      <c r="L113" s="15">
        <f>'Cashflow Data '!L20</f>
        <v>-125</v>
      </c>
    </row>
    <row r="114" spans="2:12" ht="11.35" customHeight="1" x14ac:dyDescent="0.5">
      <c r="B114" s="12" t="s">
        <v>102</v>
      </c>
      <c r="C114" s="15">
        <f>'Cashflow Data '!C21</f>
        <v>0</v>
      </c>
      <c r="D114" s="15">
        <f>'Cashflow Data '!D21</f>
        <v>0</v>
      </c>
      <c r="E114" s="15">
        <f>'Cashflow Data '!E21</f>
        <v>51</v>
      </c>
      <c r="F114" s="15">
        <f>'Cashflow Data '!F21</f>
        <v>0</v>
      </c>
      <c r="G114" s="15">
        <f>'Cashflow Data '!G21</f>
        <v>30</v>
      </c>
      <c r="H114" s="15">
        <f>'Cashflow Data '!H21</f>
        <v>57</v>
      </c>
      <c r="I114" s="15">
        <f>'Cashflow Data '!I21</f>
        <v>11</v>
      </c>
      <c r="J114" s="15">
        <f>'Cashflow Data '!J21</f>
        <v>9</v>
      </c>
      <c r="K114" s="15">
        <f>'Cashflow Data '!K21</f>
        <v>0</v>
      </c>
      <c r="L114" s="15">
        <f>'Cashflow Data '!L21</f>
        <v>0</v>
      </c>
    </row>
    <row r="115" spans="2:12" ht="11.35" customHeight="1" x14ac:dyDescent="0.5">
      <c r="B115" s="12" t="s">
        <v>103</v>
      </c>
      <c r="C115" s="15">
        <f>'Cashflow Data '!C22</f>
        <v>0</v>
      </c>
      <c r="D115" s="15">
        <f>'Cashflow Data '!D22</f>
        <v>0</v>
      </c>
      <c r="E115" s="15">
        <f>'Cashflow Data '!E22</f>
        <v>0</v>
      </c>
      <c r="F115" s="15">
        <f>'Cashflow Data '!F22</f>
        <v>0</v>
      </c>
      <c r="G115" s="15">
        <f>'Cashflow Data '!G22</f>
        <v>0</v>
      </c>
      <c r="H115" s="15">
        <f>'Cashflow Data '!H22</f>
        <v>-169</v>
      </c>
      <c r="I115" s="15">
        <f>'Cashflow Data '!I22</f>
        <v>-511</v>
      </c>
      <c r="J115" s="15">
        <f>'Cashflow Data '!J22</f>
        <v>-55</v>
      </c>
      <c r="K115" s="15">
        <f>'Cashflow Data '!K22</f>
        <v>-3859</v>
      </c>
      <c r="L115" s="15">
        <f>'Cashflow Data '!L22</f>
        <v>-1809</v>
      </c>
    </row>
    <row r="116" spans="2:12" ht="11.35" customHeight="1" x14ac:dyDescent="0.5">
      <c r="B116" s="12" t="s">
        <v>104</v>
      </c>
      <c r="C116" s="15">
        <f>'Cashflow Data '!C23</f>
        <v>73</v>
      </c>
      <c r="D116" s="15">
        <f>'Cashflow Data '!D23</f>
        <v>313</v>
      </c>
      <c r="E116" s="15">
        <f>'Cashflow Data '!E23</f>
        <v>44</v>
      </c>
      <c r="F116" s="15">
        <f>'Cashflow Data '!F23</f>
        <v>44</v>
      </c>
      <c r="G116" s="15">
        <f>'Cashflow Data '!G23</f>
        <v>132</v>
      </c>
      <c r="H116" s="15">
        <f>'Cashflow Data '!H23</f>
        <v>-73</v>
      </c>
      <c r="I116" s="15">
        <f>'Cashflow Data '!I23</f>
        <v>-499</v>
      </c>
      <c r="J116" s="15">
        <f>'Cashflow Data '!J23</f>
        <v>70</v>
      </c>
      <c r="K116" s="15">
        <f>'Cashflow Data '!K23</f>
        <v>232</v>
      </c>
      <c r="L116" s="15">
        <f>'Cashflow Data '!L23</f>
        <v>-144</v>
      </c>
    </row>
    <row r="117" spans="2:12" ht="11.35" customHeight="1" x14ac:dyDescent="0.5">
      <c r="B117" s="12" t="s">
        <v>105</v>
      </c>
      <c r="C117" s="15">
        <f>'Cashflow Data '!C24</f>
        <v>24</v>
      </c>
      <c r="D117" s="15">
        <f>'Cashflow Data '!D24</f>
        <v>-79</v>
      </c>
      <c r="E117" s="15">
        <f>'Cashflow Data '!E24</f>
        <v>-250</v>
      </c>
      <c r="F117" s="15">
        <f>'Cashflow Data '!F24</f>
        <v>222</v>
      </c>
      <c r="G117" s="15">
        <f>'Cashflow Data '!G24</f>
        <v>-481</v>
      </c>
      <c r="H117" s="15">
        <f>'Cashflow Data '!H24</f>
        <v>-467</v>
      </c>
      <c r="I117" s="15">
        <f>'Cashflow Data '!I24</f>
        <v>-61</v>
      </c>
      <c r="J117" s="15">
        <f>'Cashflow Data '!J24</f>
        <v>-160</v>
      </c>
      <c r="K117" s="15">
        <f>'Cashflow Data '!K24</f>
        <v>1152</v>
      </c>
      <c r="L117" s="15">
        <f>'Cashflow Data '!L24</f>
        <v>99</v>
      </c>
    </row>
    <row r="118" spans="2:12" ht="11.35" customHeight="1" x14ac:dyDescent="0.5">
      <c r="B118" s="33" t="s">
        <v>5</v>
      </c>
      <c r="C118" s="34">
        <f>SUM(C105:C117)</f>
        <v>145</v>
      </c>
      <c r="D118" s="34">
        <f t="shared" ref="D118:L118" si="24">SUM(D105:D117)</f>
        <v>146</v>
      </c>
      <c r="E118" s="34">
        <f t="shared" si="24"/>
        <v>-30</v>
      </c>
      <c r="F118" s="34">
        <f t="shared" si="24"/>
        <v>54</v>
      </c>
      <c r="G118" s="34">
        <f t="shared" si="24"/>
        <v>-624</v>
      </c>
      <c r="H118" s="34">
        <f t="shared" si="24"/>
        <v>-347</v>
      </c>
      <c r="I118" s="34">
        <f t="shared" si="24"/>
        <v>-1318</v>
      </c>
      <c r="J118" s="34">
        <f t="shared" si="24"/>
        <v>-833</v>
      </c>
      <c r="K118" s="34">
        <f t="shared" si="24"/>
        <v>-1910</v>
      </c>
      <c r="L118" s="34">
        <f t="shared" si="24"/>
        <v>-2305</v>
      </c>
    </row>
    <row r="120" spans="2:12" ht="11.35" customHeight="1" x14ac:dyDescent="0.5">
      <c r="B120" s="35" t="s">
        <v>120</v>
      </c>
    </row>
    <row r="121" spans="2:12" ht="11.35" customHeight="1" x14ac:dyDescent="0.5">
      <c r="B121" s="12" t="s">
        <v>106</v>
      </c>
      <c r="C121" s="15">
        <f>'Cashflow Data '!C26</f>
        <v>0</v>
      </c>
      <c r="D121" s="15">
        <f>'Cashflow Data '!D26</f>
        <v>0</v>
      </c>
      <c r="E121" s="15">
        <f>'Cashflow Data '!E26</f>
        <v>0</v>
      </c>
      <c r="F121" s="15">
        <f>'Cashflow Data '!F26</f>
        <v>0</v>
      </c>
      <c r="G121" s="15">
        <f>'Cashflow Data '!G26</f>
        <v>0</v>
      </c>
      <c r="H121" s="15">
        <f>'Cashflow Data '!H26</f>
        <v>0</v>
      </c>
      <c r="I121" s="15">
        <f>'Cashflow Data '!I26</f>
        <v>0</v>
      </c>
      <c r="J121" s="15">
        <f>'Cashflow Data '!J26</f>
        <v>0</v>
      </c>
      <c r="K121" s="15">
        <f>'Cashflow Data '!K26</f>
        <v>0</v>
      </c>
      <c r="L121" s="15">
        <f>'Cashflow Data '!L26</f>
        <v>2981</v>
      </c>
    </row>
    <row r="122" spans="2:12" ht="11.35" customHeight="1" x14ac:dyDescent="0.5">
      <c r="B122" s="12" t="s">
        <v>107</v>
      </c>
      <c r="C122" s="15">
        <f>'Cashflow Data '!C27</f>
        <v>0</v>
      </c>
      <c r="D122" s="15">
        <f>'Cashflow Data '!D27</f>
        <v>0</v>
      </c>
      <c r="E122" s="15">
        <f>'Cashflow Data '!E27</f>
        <v>0</v>
      </c>
      <c r="F122" s="15">
        <f>'Cashflow Data '!F27</f>
        <v>0</v>
      </c>
      <c r="G122" s="15">
        <f>'Cashflow Data '!G27</f>
        <v>0</v>
      </c>
      <c r="H122" s="15">
        <f>'Cashflow Data '!H27</f>
        <v>0</v>
      </c>
      <c r="I122" s="15">
        <f>'Cashflow Data '!I27</f>
        <v>0</v>
      </c>
      <c r="J122" s="15">
        <f>'Cashflow Data '!J27</f>
        <v>0</v>
      </c>
      <c r="K122" s="15">
        <f>'Cashflow Data '!K27</f>
        <v>0</v>
      </c>
      <c r="L122" s="15">
        <f>'Cashflow Data '!L27</f>
        <v>0</v>
      </c>
    </row>
    <row r="123" spans="2:12" ht="11.35" customHeight="1" x14ac:dyDescent="0.5">
      <c r="B123" s="12" t="s">
        <v>108</v>
      </c>
      <c r="C123" s="15">
        <f>'Cashflow Data '!C28</f>
        <v>0</v>
      </c>
      <c r="D123" s="15">
        <f>'Cashflow Data '!D28</f>
        <v>-398</v>
      </c>
      <c r="E123" s="15">
        <f>'Cashflow Data '!E28</f>
        <v>0</v>
      </c>
      <c r="F123" s="15">
        <f>'Cashflow Data '!F28</f>
        <v>0</v>
      </c>
      <c r="G123" s="15">
        <f>'Cashflow Data '!G28</f>
        <v>0</v>
      </c>
      <c r="H123" s="15">
        <f>'Cashflow Data '!H28</f>
        <v>0</v>
      </c>
      <c r="I123" s="15">
        <f>'Cashflow Data '!I28</f>
        <v>0</v>
      </c>
      <c r="J123" s="15">
        <f>'Cashflow Data '!J28</f>
        <v>0</v>
      </c>
      <c r="K123" s="15">
        <f>'Cashflow Data '!K28</f>
        <v>0</v>
      </c>
      <c r="L123" s="15">
        <f>'Cashflow Data '!L28</f>
        <v>0</v>
      </c>
    </row>
    <row r="124" spans="2:12" ht="11.35" customHeight="1" x14ac:dyDescent="0.5">
      <c r="B124" s="12" t="s">
        <v>109</v>
      </c>
      <c r="C124" s="15">
        <f>'Cashflow Data '!C29</f>
        <v>0</v>
      </c>
      <c r="D124" s="15">
        <f>'Cashflow Data '!D29</f>
        <v>0</v>
      </c>
      <c r="E124" s="15">
        <f>'Cashflow Data '!E29</f>
        <v>216</v>
      </c>
      <c r="F124" s="15">
        <f>'Cashflow Data '!F29</f>
        <v>101</v>
      </c>
      <c r="G124" s="15">
        <f>'Cashflow Data '!G29</f>
        <v>50</v>
      </c>
      <c r="H124" s="15">
        <f>'Cashflow Data '!H29</f>
        <v>12</v>
      </c>
      <c r="I124" s="15">
        <f>'Cashflow Data '!I29</f>
        <v>0</v>
      </c>
      <c r="J124" s="15">
        <f>'Cashflow Data '!J29</f>
        <v>53</v>
      </c>
      <c r="K124" s="15">
        <f>'Cashflow Data '!K29</f>
        <v>1327</v>
      </c>
      <c r="L124" s="15">
        <f>'Cashflow Data '!L29</f>
        <v>60</v>
      </c>
    </row>
    <row r="125" spans="2:12" ht="11.35" customHeight="1" x14ac:dyDescent="0.5">
      <c r="B125" s="12" t="s">
        <v>110</v>
      </c>
      <c r="C125" s="15">
        <f>'Cashflow Data '!C30</f>
        <v>-80</v>
      </c>
      <c r="D125" s="15">
        <f>'Cashflow Data '!D30</f>
        <v>-87</v>
      </c>
      <c r="E125" s="15">
        <f>'Cashflow Data '!E30</f>
        <v>0</v>
      </c>
      <c r="F125" s="15">
        <f>'Cashflow Data '!F30</f>
        <v>-65</v>
      </c>
      <c r="G125" s="15">
        <f>'Cashflow Data '!G30</f>
        <v>-18</v>
      </c>
      <c r="H125" s="15">
        <f>'Cashflow Data '!H30</f>
        <v>-69</v>
      </c>
      <c r="I125" s="15">
        <f>'Cashflow Data '!I30</f>
        <v>-495</v>
      </c>
      <c r="J125" s="15">
        <f>'Cashflow Data '!J30</f>
        <v>-56</v>
      </c>
      <c r="K125" s="15">
        <f>'Cashflow Data '!K30</f>
        <v>-73</v>
      </c>
      <c r="L125" s="15">
        <f>'Cashflow Data '!L30</f>
        <v>-1511</v>
      </c>
    </row>
    <row r="126" spans="2:12" ht="11.35" customHeight="1" x14ac:dyDescent="0.5">
      <c r="B126" s="12" t="s">
        <v>111</v>
      </c>
      <c r="C126" s="15">
        <f>'Cashflow Data '!C31</f>
        <v>-66</v>
      </c>
      <c r="D126" s="15">
        <f>'Cashflow Data '!D31</f>
        <v>-61</v>
      </c>
      <c r="E126" s="15">
        <f>'Cashflow Data '!E31</f>
        <v>-28</v>
      </c>
      <c r="F126" s="15">
        <f>'Cashflow Data '!F31</f>
        <v>-44</v>
      </c>
      <c r="G126" s="15">
        <f>'Cashflow Data '!G31</f>
        <v>-70</v>
      </c>
      <c r="H126" s="15">
        <f>'Cashflow Data '!H31</f>
        <v>-65</v>
      </c>
      <c r="I126" s="15">
        <f>'Cashflow Data '!I31</f>
        <v>-63</v>
      </c>
      <c r="J126" s="15">
        <f>'Cashflow Data '!J31</f>
        <v>-82</v>
      </c>
      <c r="K126" s="15">
        <f>'Cashflow Data '!K31</f>
        <v>-118</v>
      </c>
      <c r="L126" s="15">
        <f>'Cashflow Data '!L31</f>
        <v>-261</v>
      </c>
    </row>
    <row r="127" spans="2:12" ht="11.35" customHeight="1" x14ac:dyDescent="0.5">
      <c r="B127" s="12" t="s">
        <v>112</v>
      </c>
      <c r="C127" s="15">
        <f>'Cashflow Data '!C32</f>
        <v>-187</v>
      </c>
      <c r="D127" s="15">
        <f>'Cashflow Data '!D32</f>
        <v>-189</v>
      </c>
      <c r="E127" s="15">
        <f>'Cashflow Data '!E32</f>
        <v>-212</v>
      </c>
      <c r="F127" s="15">
        <f>'Cashflow Data '!F32</f>
        <v>-216</v>
      </c>
      <c r="G127" s="15">
        <f>'Cashflow Data '!G32</f>
        <v>-222</v>
      </c>
      <c r="H127" s="15">
        <f>'Cashflow Data '!H32</f>
        <v>-267</v>
      </c>
      <c r="I127" s="15">
        <f>'Cashflow Data '!I32</f>
        <v>-398</v>
      </c>
      <c r="J127" s="15">
        <f>'Cashflow Data '!J32</f>
        <v>-573</v>
      </c>
      <c r="K127" s="15">
        <f>'Cashflow Data '!K32</f>
        <v>-809</v>
      </c>
      <c r="L127" s="15">
        <f>'Cashflow Data '!L32</f>
        <v>-741</v>
      </c>
    </row>
    <row r="128" spans="2:12" ht="11.35" customHeight="1" x14ac:dyDescent="0.5">
      <c r="B128" s="12" t="s">
        <v>113</v>
      </c>
      <c r="C128" s="15">
        <f>'Cashflow Data '!C33</f>
        <v>0</v>
      </c>
      <c r="D128" s="15">
        <f>'Cashflow Data '!D33</f>
        <v>0</v>
      </c>
      <c r="E128" s="15">
        <f>'Cashflow Data '!E33</f>
        <v>0</v>
      </c>
      <c r="F128" s="15">
        <f>'Cashflow Data '!F33</f>
        <v>0</v>
      </c>
      <c r="G128" s="15">
        <f>'Cashflow Data '!G33</f>
        <v>-49</v>
      </c>
      <c r="H128" s="15">
        <f>'Cashflow Data '!H33</f>
        <v>-45</v>
      </c>
      <c r="I128" s="15">
        <f>'Cashflow Data '!I33</f>
        <v>-53</v>
      </c>
      <c r="J128" s="15">
        <f>'Cashflow Data '!J33</f>
        <v>-56</v>
      </c>
      <c r="K128" s="15">
        <f>'Cashflow Data '!K33</f>
        <v>-71</v>
      </c>
      <c r="L128" s="15">
        <f>'Cashflow Data '!L33</f>
        <v>-75</v>
      </c>
    </row>
    <row r="129" spans="2:12" ht="11.35" customHeight="1" x14ac:dyDescent="0.5">
      <c r="B129" s="12" t="s">
        <v>114</v>
      </c>
      <c r="C129" s="15">
        <f>'Cashflow Data '!C34</f>
        <v>51</v>
      </c>
      <c r="D129" s="15">
        <f>'Cashflow Data '!D34</f>
        <v>-81</v>
      </c>
      <c r="E129" s="15">
        <f>'Cashflow Data '!E34</f>
        <v>-6</v>
      </c>
      <c r="F129" s="15">
        <f>'Cashflow Data '!F34</f>
        <v>0</v>
      </c>
      <c r="G129" s="15">
        <f>'Cashflow Data '!G34</f>
        <v>0</v>
      </c>
      <c r="H129" s="15">
        <f>'Cashflow Data '!H34</f>
        <v>9</v>
      </c>
      <c r="I129" s="15">
        <f>'Cashflow Data '!I34</f>
        <v>13</v>
      </c>
      <c r="J129" s="15">
        <f>'Cashflow Data '!J34</f>
        <v>0</v>
      </c>
      <c r="K129" s="15">
        <f>'Cashflow Data '!K34</f>
        <v>0</v>
      </c>
      <c r="L129" s="15">
        <f>'Cashflow Data '!L34</f>
        <v>0</v>
      </c>
    </row>
    <row r="130" spans="2:12" ht="11.35" customHeight="1" x14ac:dyDescent="0.5">
      <c r="B130" s="33" t="s">
        <v>121</v>
      </c>
      <c r="C130" s="34">
        <f>SUM(C121:C129)</f>
        <v>-282</v>
      </c>
      <c r="D130" s="34">
        <f t="shared" ref="D130:L130" si="25">SUM(D121:D129)</f>
        <v>-816</v>
      </c>
      <c r="E130" s="34">
        <f t="shared" si="25"/>
        <v>-30</v>
      </c>
      <c r="F130" s="34">
        <f t="shared" si="25"/>
        <v>-224</v>
      </c>
      <c r="G130" s="34">
        <f t="shared" si="25"/>
        <v>-309</v>
      </c>
      <c r="H130" s="34">
        <f t="shared" si="25"/>
        <v>-425</v>
      </c>
      <c r="I130" s="34">
        <f t="shared" si="25"/>
        <v>-996</v>
      </c>
      <c r="J130" s="34">
        <f t="shared" si="25"/>
        <v>-714</v>
      </c>
      <c r="K130" s="34">
        <f t="shared" si="25"/>
        <v>256</v>
      </c>
      <c r="L130" s="34">
        <f t="shared" si="25"/>
        <v>453</v>
      </c>
    </row>
    <row r="132" spans="2:12" ht="11.35" customHeight="1" x14ac:dyDescent="0.5">
      <c r="B132" s="33" t="s">
        <v>122</v>
      </c>
      <c r="C132" s="34">
        <f>IFERROR(SUM(C102,C118,C130),0)</f>
        <v>-21</v>
      </c>
      <c r="D132" s="34">
        <f t="shared" ref="D132:L132" si="26">IFERROR(SUM(D102,D118,D130),0)</f>
        <v>70</v>
      </c>
      <c r="E132" s="34">
        <f t="shared" si="26"/>
        <v>296</v>
      </c>
      <c r="F132" s="34">
        <f t="shared" si="26"/>
        <v>40</v>
      </c>
      <c r="G132" s="34">
        <f t="shared" si="26"/>
        <v>150</v>
      </c>
      <c r="H132" s="34">
        <f t="shared" si="26"/>
        <v>884</v>
      </c>
      <c r="I132" s="34">
        <f t="shared" si="26"/>
        <v>-798</v>
      </c>
      <c r="J132" s="34">
        <f t="shared" si="26"/>
        <v>-86</v>
      </c>
      <c r="K132" s="34">
        <f t="shared" si="26"/>
        <v>282</v>
      </c>
      <c r="L132" s="34">
        <f t="shared" si="26"/>
        <v>205</v>
      </c>
    </row>
  </sheetData>
  <mergeCells count="1">
    <mergeCell ref="B2:M2"/>
  </mergeCells>
  <pageMargins left="0.4" right="0.57999999999999996" top="0.75" bottom="0.75" header="0.3" footer="0.3"/>
  <pageSetup orientation="landscape" r:id="rId1"/>
  <ignoredErrors>
    <ignoredError sqref="M6 M21 M24 M30 M9 M1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AA19-7A5B-482B-A976-4EE55CF76058}">
  <sheetPr codeName="Sheet3"/>
  <dimension ref="B2:O40"/>
  <sheetViews>
    <sheetView showGridLines="0" topLeftCell="A19" workbookViewId="0">
      <selection activeCell="K43" sqref="K43"/>
    </sheetView>
  </sheetViews>
  <sheetFormatPr defaultRowHeight="12" customHeight="1" x14ac:dyDescent="0.45"/>
  <cols>
    <col min="1" max="1" width="1.76171875" customWidth="1"/>
    <col min="2" max="2" width="17.046875" customWidth="1"/>
    <col min="3" max="3" width="6.90234375" customWidth="1"/>
    <col min="4" max="4" width="6.140625" customWidth="1"/>
    <col min="5" max="5" width="6.33203125" customWidth="1"/>
    <col min="6" max="6" width="6.234375" customWidth="1"/>
    <col min="7" max="7" width="6" customWidth="1"/>
    <col min="8" max="8" width="6.37890625" customWidth="1"/>
    <col min="9" max="9" width="6.33203125" bestFit="1" customWidth="1"/>
    <col min="10" max="10" width="6.046875" bestFit="1" customWidth="1"/>
    <col min="11" max="12" width="6.47265625" bestFit="1" customWidth="1"/>
    <col min="13" max="13" width="13" customWidth="1"/>
    <col min="14" max="14" width="7.5234375" customWidth="1"/>
  </cols>
  <sheetData>
    <row r="2" spans="2:15" ht="12" customHeight="1" x14ac:dyDescent="0.5">
      <c r="B2" s="126" t="str">
        <f>"Ratio Analysis" &amp; "-" &amp; 'Data Sheet'!B1</f>
        <v>Ratio Analysis-TATA CONSUMER PRODUCTS LTD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</row>
    <row r="3" spans="2:15" ht="12" customHeight="1" x14ac:dyDescent="0.5">
      <c r="B3" s="9" t="s">
        <v>123</v>
      </c>
      <c r="C3" s="10">
        <f>'Data Sheet'!B16</f>
        <v>42460</v>
      </c>
      <c r="D3" s="10">
        <f>'Data Sheet'!C16</f>
        <v>42825</v>
      </c>
      <c r="E3" s="10">
        <f>'Data Sheet'!D16</f>
        <v>43190</v>
      </c>
      <c r="F3" s="10">
        <f>'Data Sheet'!E16</f>
        <v>43555</v>
      </c>
      <c r="G3" s="10">
        <f>'Data Sheet'!F16</f>
        <v>43921</v>
      </c>
      <c r="H3" s="10">
        <f>'Data Sheet'!G16</f>
        <v>44286</v>
      </c>
      <c r="I3" s="10">
        <f>'Data Sheet'!H16</f>
        <v>44651</v>
      </c>
      <c r="J3" s="10">
        <f>'Data Sheet'!I16</f>
        <v>45016</v>
      </c>
      <c r="K3" s="10">
        <f>'Data Sheet'!J16</f>
        <v>45382</v>
      </c>
      <c r="L3" s="10">
        <f>'Data Sheet'!K16</f>
        <v>45747</v>
      </c>
      <c r="M3" s="10" t="s">
        <v>153</v>
      </c>
      <c r="N3" s="10" t="s">
        <v>154</v>
      </c>
      <c r="O3" s="10" t="s">
        <v>155</v>
      </c>
    </row>
    <row r="5" spans="2:15" ht="12" customHeight="1" x14ac:dyDescent="0.45">
      <c r="B5" s="52" t="s">
        <v>124</v>
      </c>
      <c r="C5" s="53" t="s">
        <v>61</v>
      </c>
      <c r="D5" s="54">
        <f>IFERROR('Historical Financial'!D7,0)</f>
        <v>2.1548879385945074E-2</v>
      </c>
      <c r="E5" s="54">
        <f>IFERROR('Historical Financial'!E7,0)</f>
        <v>5.2805864696034988E-3</v>
      </c>
      <c r="F5" s="54">
        <f>IFERROR('Historical Financial'!F7,0)</f>
        <v>6.3995246025515984E-2</v>
      </c>
      <c r="G5" s="54">
        <f>IFERROR('Historical Financial'!G7,0)</f>
        <v>0.32902433979176715</v>
      </c>
      <c r="H5" s="54">
        <f>IFERROR('Historical Financial'!H7,0)</f>
        <v>0.20385227581655685</v>
      </c>
      <c r="I5" s="54">
        <f>IFERROR('Historical Financial'!I7,0)</f>
        <v>7.0965167302618593E-2</v>
      </c>
      <c r="J5" s="54">
        <f>IFERROR('Historical Financial'!J7,0)</f>
        <v>0.10927561915661266</v>
      </c>
      <c r="K5" s="54">
        <f>IFERROR('Historical Financial'!K7,0)</f>
        <v>0.10321943589133409</v>
      </c>
      <c r="L5" s="54">
        <f>IFERROR('Historical Financial'!L7,0)</f>
        <v>0.1586527553540249</v>
      </c>
      <c r="M5" s="55"/>
      <c r="N5" s="54">
        <f>AVERAGE(C5:L5)</f>
        <v>0.11842381168821986</v>
      </c>
      <c r="O5" s="54">
        <f>MEDIAN(C5:L5)</f>
        <v>0.10321943589133409</v>
      </c>
    </row>
    <row r="6" spans="2:15" ht="12" customHeight="1" x14ac:dyDescent="0.45">
      <c r="B6" s="41" t="s">
        <v>125</v>
      </c>
      <c r="C6" s="56" t="s">
        <v>61</v>
      </c>
      <c r="D6" s="57">
        <f>IFERROR('Historical Financial'!D19/'Historical Financial'!C19-1,0)</f>
        <v>0.28422552310515758</v>
      </c>
      <c r="E6" s="57">
        <f>IFERROR('Historical Financial'!E19/'Historical Financial'!D19-1,0)</f>
        <v>-1.7701300816420629E-2</v>
      </c>
      <c r="F6" s="57">
        <f>IFERROR('Historical Financial'!F19/'Historical Financial'!E19-1,0)</f>
        <v>-2.8242500553641081E-2</v>
      </c>
      <c r="G6" s="57">
        <f>IFERROR('Historical Financial'!G19/'Historical Financial'!F19-1,0)</f>
        <v>0.10252467820458899</v>
      </c>
      <c r="H6" s="57">
        <f>IFERROR('Historical Financial'!H19/'Historical Financial'!G19-1,0)</f>
        <v>-4.1707218595378515E-2</v>
      </c>
      <c r="I6" s="57">
        <f>IFERROR('Historical Financial'!I19/'Historical Financial'!H19-1,0)</f>
        <v>7.3988904290633428E-2</v>
      </c>
      <c r="J6" s="57">
        <f>IFERROR('Historical Financial'!J19/'Historical Financial'!I19-1,0)</f>
        <v>-3.7421371682106352E-2</v>
      </c>
      <c r="K6" s="57">
        <f>IFERROR('Historical Financial'!K19/'Historical Financial'!J19-1,0)</f>
        <v>4.8193291335764554E-2</v>
      </c>
      <c r="L6" s="57">
        <f>IFERROR('Historical Financial'!L19/'Historical Financial'!K19-1,0)</f>
        <v>-3.0056384972513839E-2</v>
      </c>
      <c r="N6" s="57">
        <f t="shared" ref="N6:N40" si="0">AVERAGE(C6:L6)</f>
        <v>3.9311513368453795E-2</v>
      </c>
      <c r="O6" s="57">
        <f t="shared" ref="O6:O40" si="1">MEDIAN(C6:L6)</f>
        <v>-1.7701300816420629E-2</v>
      </c>
    </row>
    <row r="7" spans="2:15" ht="12" customHeight="1" x14ac:dyDescent="0.45">
      <c r="B7" s="41" t="s">
        <v>126</v>
      </c>
      <c r="C7" s="56" t="s">
        <v>61</v>
      </c>
      <c r="D7" s="57">
        <f>IFERROR('Historical Financial'!D28/'Historical Financial'!C28-1,0)</f>
        <v>0.36520902881025519</v>
      </c>
      <c r="E7" s="57">
        <f>IFERROR('Historical Financial'!E28/'Historical Financial'!D28-1,0)</f>
        <v>1.9455395906828432E-2</v>
      </c>
      <c r="F7" s="57">
        <f>IFERROR('Historical Financial'!F28/'Historical Financial'!E28-1,0)</f>
        <v>-3.4873566934105038E-2</v>
      </c>
      <c r="G7" s="57">
        <f>IFERROR('Historical Financial'!G28/'Historical Financial'!F28-1,0)</f>
        <v>7.2464094152308478E-2</v>
      </c>
      <c r="H7" s="57">
        <f>IFERROR('Historical Financial'!H28/'Historical Financial'!G28-1,0)</f>
        <v>-2.5010890884948123E-2</v>
      </c>
      <c r="I7" s="57">
        <f>IFERROR('Historical Financial'!I28/'Historical Financial'!H28-1,0)</f>
        <v>8.1489335577293209E-2</v>
      </c>
      <c r="J7" s="57">
        <f>IFERROR('Historical Financial'!J28/'Historical Financial'!I28-1,0)</f>
        <v>-4.2335281955740434E-2</v>
      </c>
      <c r="K7" s="57">
        <f>IFERROR('Historical Financial'!K28/'Historical Financial'!J28-1,0)</f>
        <v>3.2985536064169541E-2</v>
      </c>
      <c r="L7" s="57">
        <f>IFERROR('Historical Financial'!L28/'Historical Financial'!K28-1,0)</f>
        <v>-0.10489452540669408</v>
      </c>
      <c r="N7" s="57">
        <f t="shared" si="0"/>
        <v>4.0498791703263017E-2</v>
      </c>
      <c r="O7" s="57">
        <f t="shared" si="1"/>
        <v>1.9455395906828432E-2</v>
      </c>
    </row>
    <row r="8" spans="2:15" ht="12" customHeight="1" x14ac:dyDescent="0.45">
      <c r="B8" s="41" t="s">
        <v>127</v>
      </c>
      <c r="C8" s="56" t="s">
        <v>61</v>
      </c>
      <c r="D8" s="57">
        <f>IFERROR('Historical Financial'!D33/'Historical Financial'!C33-1,0)</f>
        <v>0.48668211761750935</v>
      </c>
      <c r="E8" s="57">
        <f>IFERROR('Historical Financial'!E33/'Historical Financial'!D33-1,0)</f>
        <v>3.8174739089366527E-2</v>
      </c>
      <c r="F8" s="57">
        <f>IFERROR('Historical Financial'!F33/'Historical Financial'!E33-1,0)</f>
        <v>-2.489865964434701E-2</v>
      </c>
      <c r="G8" s="57">
        <f>IFERROR('Historical Financial'!G33/'Historical Financial'!F33-1,0)</f>
        <v>0.49940829300116829</v>
      </c>
      <c r="H8" s="57">
        <f>IFERROR('Historical Financial'!H33/'Historical Financial'!G33-1,0)</f>
        <v>0.1760491765955845</v>
      </c>
      <c r="I8" s="57">
        <f>IFERROR('Historical Financial'!I33/'Historical Financial'!H33-1,0)</f>
        <v>0.15412214134530977</v>
      </c>
      <c r="J8" s="57">
        <f>IFERROR('Historical Financial'!J33/'Historical Financial'!I33-1,0)</f>
        <v>4.4979461603260829E-2</v>
      </c>
      <c r="K8" s="57">
        <f>IFERROR('Historical Financial'!K33/'Historical Financial'!J33-1,0)</f>
        <v>0.18053113128466824</v>
      </c>
      <c r="L8" s="57">
        <f>IFERROR('Historical Financial'!L33/'Historical Financial'!K33-1,0)</f>
        <v>4.1087032717339822E-2</v>
      </c>
      <c r="N8" s="57">
        <f t="shared" si="0"/>
        <v>0.17734838151220669</v>
      </c>
      <c r="O8" s="57">
        <f t="shared" si="1"/>
        <v>0.15412214134530977</v>
      </c>
    </row>
    <row r="9" spans="2:15" ht="12" customHeight="1" x14ac:dyDescent="0.45">
      <c r="B9" s="58" t="s">
        <v>128</v>
      </c>
      <c r="C9" s="59" t="s">
        <v>61</v>
      </c>
      <c r="D9" s="60">
        <f>IFERROR('Historical Financial'!D41/'Historical Financial'!C41-1,0)</f>
        <v>-0.29747145853070611</v>
      </c>
      <c r="E9" s="60">
        <f>IFERROR('Historical Financial'!E41/'Historical Financial'!D41-1,0)</f>
        <v>-3.6771015178862276E-2</v>
      </c>
      <c r="F9" s="60">
        <f>IFERROR('Historical Financial'!F41/'Historical Financial'!E41-1,0)</f>
        <v>9.1017617197166611E-2</v>
      </c>
      <c r="G9" s="60">
        <f>IFERROR('Historical Financial'!G41/'Historical Financial'!F41-1,0)</f>
        <v>0.53580607107514555</v>
      </c>
      <c r="H9" s="60">
        <f>IFERROR('Historical Financial'!H41/'Historical Financial'!G41-1,0)</f>
        <v>0.27547395456910295</v>
      </c>
      <c r="I9" s="60">
        <f>IFERROR('Historical Financial'!I41/'Historical Financial'!H41-1,0)</f>
        <v>0.29433832077708022</v>
      </c>
      <c r="J9" s="60">
        <f>IFERROR('Historical Financial'!J41/'Historical Financial'!I41-1,0)</f>
        <v>0.35813469600355208</v>
      </c>
      <c r="K9" s="60">
        <f>IFERROR('Historical Financial'!K41/'Historical Financial'!J41-1,0)</f>
        <v>-0.1827030652860947</v>
      </c>
      <c r="L9" s="60">
        <f>IFERROR('Historical Financial'!L41/'Historical Financial'!K41-1,0)</f>
        <v>6.1892586854649378E-2</v>
      </c>
      <c r="M9" s="61"/>
      <c r="N9" s="60">
        <f t="shared" si="0"/>
        <v>0.12219085638678151</v>
      </c>
      <c r="O9" s="60">
        <f t="shared" si="1"/>
        <v>9.1017617197166611E-2</v>
      </c>
    </row>
    <row r="10" spans="2:15" ht="12" customHeight="1" x14ac:dyDescent="0.45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N10" s="42"/>
      <c r="O10" s="42"/>
    </row>
    <row r="11" spans="2:15" ht="12" customHeight="1" x14ac:dyDescent="0.45">
      <c r="B11" s="52" t="s">
        <v>64</v>
      </c>
      <c r="C11" s="53">
        <f>IFERROR('Historical Financial'!C13,0)</f>
        <v>0.29519900430043355</v>
      </c>
      <c r="D11" s="54">
        <f>IFERROR('Historical Financial'!D13,0)</f>
        <v>0.30958396943749944</v>
      </c>
      <c r="E11" s="54">
        <f>IFERROR('Historical Financial'!E13,0)</f>
        <v>0.29534946847924165</v>
      </c>
      <c r="F11" s="54">
        <f>IFERROR('Historical Financial'!F13,0)</f>
        <v>0.29493070399227739</v>
      </c>
      <c r="G11" s="54">
        <f>IFERROR('Historical Financial'!G13,0)</f>
        <v>0.31124823863648154</v>
      </c>
      <c r="H11" s="54">
        <f>IFERROR('Historical Financial'!H13,0)</f>
        <v>0.2908491014072539</v>
      </c>
      <c r="I11" s="54">
        <f>IFERROR('Historical Financial'!I13,0)</f>
        <v>0.30827572941489889</v>
      </c>
      <c r="J11" s="54">
        <f>IFERROR('Historical Financial'!J13,0)</f>
        <v>0.29760882119920234</v>
      </c>
      <c r="K11" s="54">
        <f>IFERROR('Historical Financial'!K13,0)</f>
        <v>0.31906272914700595</v>
      </c>
      <c r="L11" s="54">
        <f>IFERROR('Historical Financial'!L13,0)</f>
        <v>0.31362560519459876</v>
      </c>
      <c r="M11" s="55"/>
      <c r="N11" s="54">
        <f t="shared" si="0"/>
        <v>0.30357333712088935</v>
      </c>
      <c r="O11" s="54">
        <f t="shared" si="1"/>
        <v>0.30294227530705065</v>
      </c>
    </row>
    <row r="12" spans="2:15" ht="12" customHeight="1" x14ac:dyDescent="0.45">
      <c r="B12" s="41" t="s">
        <v>129</v>
      </c>
      <c r="C12" s="56">
        <f>IFERROR('Historical Financial'!C19,0)</f>
        <v>0.19733023533347188</v>
      </c>
      <c r="D12" s="57">
        <f>IFERROR('Historical Financial'!D19,0)</f>
        <v>0.25341652469559178</v>
      </c>
      <c r="E12" s="57">
        <f>IFERROR('Historical Financial'!E19,0)</f>
        <v>0.24893072256010323</v>
      </c>
      <c r="F12" s="57">
        <f>IFERROR('Historical Financial'!F19,0)</f>
        <v>0.24190029649038125</v>
      </c>
      <c r="G12" s="57">
        <f>IFERROR('Historical Financial'!G19,0)</f>
        <v>0.26670104654565224</v>
      </c>
      <c r="H12" s="57">
        <f>IFERROR('Historical Financial'!H19,0)</f>
        <v>0.25557768769775652</v>
      </c>
      <c r="I12" s="57">
        <f>IFERROR('Historical Financial'!I19,0)</f>
        <v>0.27448760077164724</v>
      </c>
      <c r="J12" s="57">
        <f>IFERROR('Historical Financial'!J19,0)</f>
        <v>0.2642158982410418</v>
      </c>
      <c r="K12" s="57">
        <f>IFERROR('Historical Financial'!K19,0)</f>
        <v>0.27694933200051303</v>
      </c>
      <c r="L12" s="57">
        <f>IFERROR('Historical Financial'!L19,0)</f>
        <v>0.26862523626002505</v>
      </c>
      <c r="N12" s="57">
        <f t="shared" si="0"/>
        <v>0.25481345805961836</v>
      </c>
      <c r="O12" s="57">
        <f t="shared" si="1"/>
        <v>0.25989679296939916</v>
      </c>
    </row>
    <row r="13" spans="2:15" ht="12" customHeight="1" x14ac:dyDescent="0.45">
      <c r="B13" s="41" t="s">
        <v>130</v>
      </c>
      <c r="C13" s="56">
        <f>IFERROR(('Historical Financial'!C18-'Historical Financial'!C21)/'Historical Financial'!C6,0)</f>
        <v>0.17973220985634072</v>
      </c>
      <c r="D13" s="57">
        <f>IFERROR(('Historical Financial'!D18-'Historical Financial'!D21)/'Historical Financial'!D6,0)</f>
        <v>0.23482532026461922</v>
      </c>
      <c r="E13" s="57">
        <f>IFERROR(('Historical Financial'!E18-'Historical Financial'!E21)/'Historical Financial'!E6,0)</f>
        <v>0.23190445098197446</v>
      </c>
      <c r="F13" s="57">
        <f>IFERROR(('Historical Financial'!F18-'Historical Financial'!F21)/'Historical Financial'!F6,0)</f>
        <v>0.22499758670619868</v>
      </c>
      <c r="G13" s="57">
        <f>IFERROR(('Historical Financial'!G18-'Historical Financial'!G21)/'Historical Financial'!G6,0)</f>
        <v>0.24162068271383835</v>
      </c>
      <c r="H13" s="57">
        <f>IFERROR(('Historical Financial'!H18-'Historical Financial'!H21)/'Historical Financial'!H6,0)</f>
        <v>0.23362118525809725</v>
      </c>
      <c r="I13" s="57">
        <f>IFERROR(('Historical Financial'!I18-'Historical Financial'!I21)/'Historical Financial'!I6,0)</f>
        <v>0.25211321674928006</v>
      </c>
      <c r="J13" s="57">
        <f>IFERROR(('Historical Financial'!J18-'Historical Financial'!J21)/'Historical Financial'!J6,0)</f>
        <v>0.24215419395842447</v>
      </c>
      <c r="K13" s="57">
        <f>IFERROR(('Historical Financial'!K18-'Historical Financial'!K21)/'Historical Financial'!K6,0)</f>
        <v>0.25214637787430499</v>
      </c>
      <c r="L13" s="57">
        <f>IFERROR(('Historical Financial'!L18-'Historical Financial'!L21)/'Historical Financial'!L6,0)</f>
        <v>0.23452773536606822</v>
      </c>
      <c r="N13" s="57">
        <f t="shared" si="0"/>
        <v>0.23276429597291465</v>
      </c>
      <c r="O13" s="57">
        <f t="shared" si="1"/>
        <v>0.23467652781534371</v>
      </c>
    </row>
    <row r="14" spans="2:15" ht="12" customHeight="1" x14ac:dyDescent="0.45">
      <c r="B14" s="41" t="s">
        <v>131</v>
      </c>
      <c r="C14" s="56">
        <f>IFERROR('Historical Financial'!C28,0)</f>
        <v>0.1621176094772275</v>
      </c>
      <c r="D14" s="57">
        <f>IFERROR('Historical Financial'!D28,0)</f>
        <v>0.22132442418744597</v>
      </c>
      <c r="E14" s="57">
        <f>IFERROR('Historical Financial'!E28,0)</f>
        <v>0.22563037848386358</v>
      </c>
      <c r="F14" s="57">
        <f>IFERROR('Historical Financial'!F28,0)</f>
        <v>0.21776184237743912</v>
      </c>
      <c r="G14" s="57">
        <f>IFERROR('Historical Financial'!G28,0)</f>
        <v>0.23354175702625804</v>
      </c>
      <c r="H14" s="57">
        <f>IFERROR('Historical Financial'!H28,0)</f>
        <v>0.22770066962419525</v>
      </c>
      <c r="I14" s="57">
        <f>IFERROR('Historical Financial'!I28,0)</f>
        <v>0.24625584590237568</v>
      </c>
      <c r="J14" s="57">
        <f>IFERROR('Historical Financial'!J28,0)</f>
        <v>0.23583053523284922</v>
      </c>
      <c r="K14" s="57">
        <f>IFERROR('Historical Financial'!K28,0)</f>
        <v>0.24360953185780479</v>
      </c>
      <c r="L14" s="57">
        <f>IFERROR('Historical Financial'!L28,0)</f>
        <v>0.21805622562903343</v>
      </c>
      <c r="N14" s="57">
        <f t="shared" si="0"/>
        <v>0.22318288197984923</v>
      </c>
      <c r="O14" s="57">
        <f t="shared" si="1"/>
        <v>0.2266655240540294</v>
      </c>
    </row>
    <row r="15" spans="2:15" ht="12" customHeight="1" x14ac:dyDescent="0.45">
      <c r="B15" s="58" t="s">
        <v>132</v>
      </c>
      <c r="C15" s="59">
        <f>IFERROR('Historical Financial'!C34,0)</f>
        <v>0.13197991724603475</v>
      </c>
      <c r="D15" s="60">
        <f>IFERROR('Historical Financial'!D34,0)</f>
        <v>0.19207322019898065</v>
      </c>
      <c r="E15" s="60">
        <f>IFERROR('Historical Financial'!E34,0)</f>
        <v>0.19835811807170572</v>
      </c>
      <c r="F15" s="60">
        <f>IFERROR('Historical Financial'!F34,0)</f>
        <v>0.18178583741294901</v>
      </c>
      <c r="G15" s="60">
        <f>IFERROR('Historical Financial'!G34,0)</f>
        <v>0.20509119660656064</v>
      </c>
      <c r="H15" s="60">
        <f>IFERROR('Historical Financial'!H34,0)</f>
        <v>0.20035459311861822</v>
      </c>
      <c r="I15" s="60">
        <f>IFERROR('Historical Financial'!I34,0)</f>
        <v>0.21591147788758017</v>
      </c>
      <c r="J15" s="60">
        <f>IFERROR('Historical Financial'!J34,0)</f>
        <v>0.20339675371975643</v>
      </c>
      <c r="K15" s="60">
        <f>IFERROR('Historical Financial'!K34,0)</f>
        <v>0.2176504437436908</v>
      </c>
      <c r="L15" s="60">
        <f>IFERROR('Historical Financial'!L34,0)</f>
        <v>0.19556597401565418</v>
      </c>
      <c r="M15" s="61"/>
      <c r="N15" s="60">
        <f t="shared" si="0"/>
        <v>0.19421675320215306</v>
      </c>
      <c r="O15" s="60">
        <f t="shared" si="1"/>
        <v>0.19935635559516196</v>
      </c>
    </row>
    <row r="16" spans="2:15" ht="12" customHeight="1" x14ac:dyDescent="0.4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N16" s="42"/>
      <c r="O16" s="42"/>
    </row>
    <row r="17" spans="2:15" ht="12" customHeight="1" x14ac:dyDescent="0.45">
      <c r="B17" s="52" t="s">
        <v>133</v>
      </c>
      <c r="C17" s="54">
        <f>IFERROR('Historical Financial'!C10,0)</f>
        <v>0.70480099569956645</v>
      </c>
      <c r="D17" s="54">
        <f>IFERROR('Historical Financial'!D10,0)</f>
        <v>0.69041603056250056</v>
      </c>
      <c r="E17" s="54">
        <f>IFERROR('Historical Financial'!E10,0)</f>
        <v>0.70465053152075829</v>
      </c>
      <c r="F17" s="54">
        <f>IFERROR('Historical Financial'!F10,0)</f>
        <v>0.70506929600772261</v>
      </c>
      <c r="G17" s="54">
        <f>IFERROR('Historical Financial'!G10,0)</f>
        <v>0.68875176136351846</v>
      </c>
      <c r="H17" s="54">
        <f>IFERROR('Historical Financial'!H10,0)</f>
        <v>0.70915089859274605</v>
      </c>
      <c r="I17" s="54">
        <f>IFERROR('Historical Financial'!I10,0)</f>
        <v>0.69172427058510111</v>
      </c>
      <c r="J17" s="54">
        <f>IFERROR('Historical Financial'!J10,0)</f>
        <v>0.7023911788007976</v>
      </c>
      <c r="K17" s="54">
        <f>IFERROR('Historical Financial'!K10,0)</f>
        <v>0.68093727085299405</v>
      </c>
      <c r="L17" s="54">
        <f>IFERROR('Historical Financial'!L10,0)</f>
        <v>0.68637439480540119</v>
      </c>
      <c r="M17" s="55"/>
      <c r="N17" s="54">
        <f t="shared" si="0"/>
        <v>0.6964266628791107</v>
      </c>
      <c r="O17" s="54">
        <f t="shared" si="1"/>
        <v>0.69705772469294935</v>
      </c>
    </row>
    <row r="18" spans="2:15" ht="12" customHeight="1" x14ac:dyDescent="0.45">
      <c r="B18" s="41" t="s">
        <v>134</v>
      </c>
      <c r="C18" s="57">
        <f>IFERROR('Historical Financial'!C22,0)</f>
        <v>1.7598025477131157E-2</v>
      </c>
      <c r="D18" s="57">
        <f>IFERROR('Historical Financial'!D22,0)</f>
        <v>1.8591204430972556E-2</v>
      </c>
      <c r="E18" s="57">
        <f>IFERROR('Historical Financial'!E22,0)</f>
        <v>1.7026271578128784E-2</v>
      </c>
      <c r="F18" s="57">
        <f>IFERROR('Historical Financial'!F22,0)</f>
        <v>1.6902709784182582E-2</v>
      </c>
      <c r="G18" s="57">
        <f>IFERROR('Historical Financial'!G22,0)</f>
        <v>2.5080363831813911E-2</v>
      </c>
      <c r="H18" s="57">
        <f>IFERROR('Historical Financial'!H22,0)</f>
        <v>2.1956502439659267E-2</v>
      </c>
      <c r="I18" s="57">
        <f>IFERROR('Historical Financial'!I22,0)</f>
        <v>2.237438402236714E-2</v>
      </c>
      <c r="J18" s="57">
        <f>IFERROR('Historical Financial'!J22,0)</f>
        <v>2.2061704282617337E-2</v>
      </c>
      <c r="K18" s="57">
        <f>IFERROR('Historical Financial'!K22,0)</f>
        <v>2.4802954126208004E-2</v>
      </c>
      <c r="L18" s="57">
        <f>IFERROR('Historical Financial'!L22,0)</f>
        <v>3.4097500893956856E-2</v>
      </c>
      <c r="N18" s="57">
        <f t="shared" si="0"/>
        <v>2.2049162086703759E-2</v>
      </c>
      <c r="O18" s="57">
        <f t="shared" si="1"/>
        <v>2.2009103361138302E-2</v>
      </c>
    </row>
    <row r="19" spans="2:15" ht="12" customHeight="1" x14ac:dyDescent="0.45">
      <c r="B19" s="58" t="s">
        <v>135</v>
      </c>
      <c r="C19" s="62">
        <f>C13</f>
        <v>0.17973220985634072</v>
      </c>
      <c r="D19" s="62">
        <f t="shared" ref="D19:L19" si="2">D13</f>
        <v>0.23482532026461922</v>
      </c>
      <c r="E19" s="62">
        <f t="shared" si="2"/>
        <v>0.23190445098197446</v>
      </c>
      <c r="F19" s="62">
        <f t="shared" si="2"/>
        <v>0.22499758670619868</v>
      </c>
      <c r="G19" s="62">
        <f t="shared" si="2"/>
        <v>0.24162068271383835</v>
      </c>
      <c r="H19" s="62">
        <f t="shared" si="2"/>
        <v>0.23362118525809725</v>
      </c>
      <c r="I19" s="62">
        <f t="shared" si="2"/>
        <v>0.25211321674928006</v>
      </c>
      <c r="J19" s="62">
        <f t="shared" si="2"/>
        <v>0.24215419395842447</v>
      </c>
      <c r="K19" s="62">
        <f t="shared" si="2"/>
        <v>0.25214637787430499</v>
      </c>
      <c r="L19" s="62">
        <f t="shared" si="2"/>
        <v>0.23452773536606822</v>
      </c>
      <c r="M19" s="61"/>
      <c r="N19" s="60">
        <f t="shared" si="0"/>
        <v>0.23276429597291465</v>
      </c>
      <c r="O19" s="60">
        <f t="shared" si="1"/>
        <v>0.23467652781534371</v>
      </c>
    </row>
    <row r="20" spans="2:15" ht="12" customHeight="1" x14ac:dyDescent="0.45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N20" s="42"/>
      <c r="O20" s="42"/>
    </row>
    <row r="21" spans="2:15" ht="12" customHeight="1" x14ac:dyDescent="0.45">
      <c r="B21" s="52" t="s">
        <v>136</v>
      </c>
      <c r="C21" s="54">
        <f>IFERROR(('Historical Financial'!C18-'Historical Financial'!C21)/SUM('Historical Financial'!C49:C51),0)</f>
        <v>0.1569221782819073</v>
      </c>
      <c r="D21" s="54">
        <f>IFERROR(('Historical Financial'!D18-'Historical Financial'!D21)/SUM('Historical Financial'!D49:D51),0)</f>
        <v>0.22575105713791424</v>
      </c>
      <c r="E21" s="54">
        <f>IFERROR(('Historical Financial'!E18-'Historical Financial'!E21)/SUM('Historical Financial'!E49:E51),0)</f>
        <v>0.19514444672176687</v>
      </c>
      <c r="F21" s="54">
        <f>IFERROR(('Historical Financial'!F18-'Historical Financial'!F21)/SUM('Historical Financial'!F49:F51),0)</f>
        <v>0.19256584902965845</v>
      </c>
      <c r="G21" s="54">
        <f>IFERROR(('Historical Financial'!G18-'Historical Financial'!G21)/SUM('Historical Financial'!G49:G51),0)</f>
        <v>0.15119620704387585</v>
      </c>
      <c r="H21" s="54">
        <f>IFERROR(('Historical Financial'!H18-'Historical Financial'!H21)/SUM('Historical Financial'!H49:H51),0)</f>
        <v>0.16764410819851006</v>
      </c>
      <c r="I21" s="54">
        <f>IFERROR(('Historical Financial'!I18-'Historical Financial'!I21)/SUM('Historical Financial'!I49:I51),0)</f>
        <v>0.18923580172708038</v>
      </c>
      <c r="J21" s="54">
        <f>IFERROR(('Historical Financial'!J18-'Historical Financial'!J21)/SUM('Historical Financial'!J49:J51),0)</f>
        <v>0.18670339966716534</v>
      </c>
      <c r="K21" s="54">
        <f>IFERROR(('Historical Financial'!K18-'Historical Financial'!K21)/SUM('Historical Financial'!K49:K51),0)</f>
        <v>0.19627818353732798</v>
      </c>
      <c r="L21" s="54">
        <f>IFERROR(('Historical Financial'!L18-'Historical Financial'!L21)/SUM('Historical Financial'!L49:L51),0)</f>
        <v>0.18451479340673468</v>
      </c>
      <c r="M21" s="55"/>
      <c r="N21" s="54">
        <f t="shared" si="0"/>
        <v>0.1845956024751941</v>
      </c>
      <c r="O21" s="54">
        <f t="shared" si="1"/>
        <v>0.18796960069712287</v>
      </c>
    </row>
    <row r="22" spans="2:15" ht="12" customHeight="1" x14ac:dyDescent="0.45">
      <c r="B22" s="41" t="s">
        <v>137</v>
      </c>
      <c r="C22" s="57">
        <f>IFERROR('Historical Financial'!C44/'Historical Financial'!C38,0)</f>
        <v>0.20493601270907966</v>
      </c>
      <c r="D22" s="57">
        <f>IFERROR('Historical Financial'!D44/'Historical Financial'!D38,0)</f>
        <v>0.62429416702652807</v>
      </c>
      <c r="E22" s="57">
        <f>IFERROR('Historical Financial'!E44/'Historical Financial'!E38,0)</f>
        <v>0.65141634210455823</v>
      </c>
      <c r="F22" s="57">
        <f>IFERROR('Historical Financial'!F44/'Historical Financial'!F38,0)</f>
        <v>0.60997806474940874</v>
      </c>
      <c r="G22" s="57">
        <f>IFERROR('Historical Financial'!G44/'Historical Financial'!G38,0)</f>
        <v>0.41667444203641318</v>
      </c>
      <c r="H22" s="57">
        <f>IFERROR('Historical Financial'!H44/'Historical Financial'!H38,0)</f>
        <v>0.36735931538950067</v>
      </c>
      <c r="I22" s="57">
        <f>IFERROR('Historical Financial'!I44/'Historical Financial'!I38,0)</f>
        <v>0.29049876781714179</v>
      </c>
      <c r="J22" s="57">
        <f>IFERROR('Historical Financial'!J44/'Historical Financial'!J38,0)</f>
        <v>7.0458927408809699E-2</v>
      </c>
      <c r="K22" s="57">
        <f>IFERROR('Historical Financial'!K44/'Historical Financial'!K38,0)</f>
        <v>0.33992310655850838</v>
      </c>
      <c r="L22" s="57">
        <f>IFERROR('Historical Financial'!L44/'Historical Financial'!L38,0)</f>
        <v>0.3267318313723801</v>
      </c>
      <c r="N22" s="57">
        <f t="shared" si="0"/>
        <v>0.39022709771723285</v>
      </c>
      <c r="O22" s="57">
        <f t="shared" si="1"/>
        <v>0.35364121097400453</v>
      </c>
    </row>
    <row r="23" spans="2:15" ht="12" customHeight="1" x14ac:dyDescent="0.45">
      <c r="B23" s="41" t="s">
        <v>138</v>
      </c>
      <c r="C23" s="57">
        <f>IFERROR('Historical Financial'!C33/SUM('Historical Financial'!C49:C50),0)</f>
        <v>0.14020588522482971</v>
      </c>
      <c r="D23" s="57">
        <f>IFERROR('Historical Financial'!D33/SUM('Historical Financial'!D49:D50),0)</f>
        <v>0.20783177719256235</v>
      </c>
      <c r="E23" s="57">
        <f>IFERROR('Historical Financial'!E33/SUM('Historical Financial'!E49:E50),0)</f>
        <v>0.19225780761135441</v>
      </c>
      <c r="F23" s="57">
        <f>IFERROR('Historical Financial'!F33/SUM('Historical Financial'!F49:F50),0)</f>
        <v>0.17979756372678057</v>
      </c>
      <c r="G23" s="57">
        <f>IFERROR('Historical Financial'!G33/SUM('Historical Financial'!G49:G50),0)</f>
        <v>0.14307419691549531</v>
      </c>
      <c r="H23" s="57">
        <f>IFERROR('Historical Financial'!H33/SUM('Historical Financial'!H49:H50),0)</f>
        <v>0.15993108814813861</v>
      </c>
      <c r="I23" s="57">
        <f>IFERROR('Historical Financial'!I33/SUM('Historical Financial'!I49:I50),0)</f>
        <v>0.17717544779598929</v>
      </c>
      <c r="J23" s="57">
        <f>IFERROR('Historical Financial'!J33/SUM('Historical Financial'!J49:J50),0)</f>
        <v>0.17223689553970048</v>
      </c>
      <c r="K23" s="57">
        <f>IFERROR('Historical Financial'!K33/SUM('Historical Financial'!K49:K50),0)</f>
        <v>0.20611591731597664</v>
      </c>
      <c r="L23" s="57">
        <f>IFERROR('Historical Financial'!L33/SUM('Historical Financial'!L49:L50),0)</f>
        <v>0.17226769754433258</v>
      </c>
      <c r="N23" s="57">
        <f t="shared" si="0"/>
        <v>0.17508942770151598</v>
      </c>
      <c r="O23" s="57">
        <f t="shared" si="1"/>
        <v>0.17472157267016092</v>
      </c>
    </row>
    <row r="24" spans="2:15" ht="12" customHeight="1" x14ac:dyDescent="0.45">
      <c r="B24" s="41" t="s">
        <v>139</v>
      </c>
      <c r="C24" s="57">
        <f>IFERROR(C22*C23,0)</f>
        <v>2.8733235076323464E-2</v>
      </c>
      <c r="D24" s="57">
        <f t="shared" ref="D24:L24" si="3">IFERROR(D22*D23,0)</f>
        <v>0.12974816622407367</v>
      </c>
      <c r="E24" s="57">
        <f t="shared" si="3"/>
        <v>0.12523987777523038</v>
      </c>
      <c r="F24" s="57">
        <f t="shared" si="3"/>
        <v>0.1096725699687201</v>
      </c>
      <c r="G24" s="57">
        <f t="shared" si="3"/>
        <v>5.9615361169571918E-2</v>
      </c>
      <c r="H24" s="57">
        <f t="shared" si="3"/>
        <v>5.8752175051598084E-2</v>
      </c>
      <c r="I24" s="57">
        <f t="shared" si="3"/>
        <v>5.146924927218522E-2</v>
      </c>
      <c r="J24" s="57">
        <f t="shared" si="3"/>
        <v>1.2135626919950494E-2</v>
      </c>
      <c r="K24" s="57">
        <f t="shared" si="3"/>
        <v>7.0063562925203438E-2</v>
      </c>
      <c r="L24" s="57">
        <f t="shared" si="3"/>
        <v>5.6285340304963051E-2</v>
      </c>
      <c r="N24" s="57">
        <f t="shared" si="0"/>
        <v>7.0171516468781975E-2</v>
      </c>
      <c r="O24" s="57">
        <f t="shared" si="1"/>
        <v>5.9183768110584997E-2</v>
      </c>
    </row>
    <row r="25" spans="2:15" ht="12" customHeight="1" x14ac:dyDescent="0.45">
      <c r="B25" s="58" t="s">
        <v>140</v>
      </c>
      <c r="C25" s="63">
        <f>IFERROR(('Historical Financial'!C18-'Historical Financial'!C21)/'Historical Financial'!C24,0)</f>
        <v>10.203592814371254</v>
      </c>
      <c r="D25" s="63">
        <f>IFERROR(('Historical Financial'!D18-'Historical Financial'!D21)/'Historical Financial'!D24,0)</f>
        <v>17.393313667649942</v>
      </c>
      <c r="E25" s="63">
        <f>IFERROR(('Historical Financial'!E18-'Historical Financial'!E21)/'Historical Financial'!E24,0)</f>
        <v>36.962347988774553</v>
      </c>
      <c r="F25" s="63">
        <f>IFERROR(('Historical Financial'!F18-'Historical Financial'!F21)/'Historical Financial'!F24,0)</f>
        <v>31.095292548122732</v>
      </c>
      <c r="G25" s="63">
        <f>IFERROR(('Historical Financial'!G18-'Historical Financial'!G21)/'Historical Financial'!G24,0)</f>
        <v>29.907526329309015</v>
      </c>
      <c r="H25" s="63">
        <f>IFERROR(('Historical Financial'!H18-'Historical Financial'!H21)/'Historical Financial'!H24,0)</f>
        <v>39.45960110642018</v>
      </c>
      <c r="I25" s="63">
        <f>IFERROR(('Historical Financial'!I18-'Historical Financial'!I21)/'Historical Financial'!I24,0)</f>
        <v>43.042044517724676</v>
      </c>
      <c r="J25" s="63">
        <f>IFERROR(('Historical Financial'!J18-'Historical Financial'!J21)/'Historical Financial'!J24,0)</f>
        <v>38.293368517668632</v>
      </c>
      <c r="K25" s="63">
        <f>IFERROR(('Historical Financial'!K18-'Historical Financial'!K21)/'Historical Financial'!K24,0)</f>
        <v>29.536245281565371</v>
      </c>
      <c r="L25" s="63">
        <f>IFERROR(('Historical Financial'!L18-'Historical Financial'!L21)/'Historical Financial'!L24,0)</f>
        <v>14.238387319090281</v>
      </c>
      <c r="M25" s="61"/>
      <c r="N25" s="63">
        <f t="shared" si="0"/>
        <v>29.01317200906966</v>
      </c>
      <c r="O25" s="63">
        <f t="shared" si="1"/>
        <v>30.501409438715875</v>
      </c>
    </row>
    <row r="26" spans="2:15" ht="12" customHeight="1" x14ac:dyDescent="0.45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N26" s="42"/>
      <c r="O26" s="42"/>
    </row>
    <row r="27" spans="2:15" ht="12" customHeight="1" x14ac:dyDescent="0.45">
      <c r="B27" s="52" t="s">
        <v>141</v>
      </c>
      <c r="C27" s="64">
        <f>IFERROR('Historical Financial'!C6/'Historical Financial'!C61,0)</f>
        <v>11.202234863190588</v>
      </c>
      <c r="D27" s="64">
        <f>IFERROR('Historical Financial'!D6/'Historical Financial'!D61,0)</f>
        <v>11.443244155624948</v>
      </c>
      <c r="E27" s="64">
        <f>IFERROR('Historical Financial'!E6/'Historical Financial'!E61,0)</f>
        <v>10.512972789535388</v>
      </c>
      <c r="F27" s="64">
        <f>IFERROR('Historical Financial'!F6/'Historical Financial'!F61,0)</f>
        <v>10.655352288590112</v>
      </c>
      <c r="G27" s="64">
        <f>IFERROR('Historical Financial'!G6/'Historical Financial'!G61,0)</f>
        <v>10.448087076245921</v>
      </c>
      <c r="H27" s="64">
        <f>IFERROR('Historical Financial'!H6/'Historical Financial'!H61,0)</f>
        <v>15.239360584248411</v>
      </c>
      <c r="I27" s="64">
        <f>IFERROR('Historical Financial'!I6/'Historical Financial'!I61,0)</f>
        <v>14.878009938334433</v>
      </c>
      <c r="J27" s="64">
        <f>IFERROR('Historical Financial'!J6/'Historical Financial'!J61,0)</f>
        <v>17.26499066801949</v>
      </c>
      <c r="K27" s="64">
        <f>IFERROR('Historical Financial'!K6/'Historical Financial'!K61,0)</f>
        <v>16.95662113186507</v>
      </c>
      <c r="L27" s="64">
        <f>IFERROR('Historical Financial'!L6/'Historical Financial'!L61,0)</f>
        <v>20.255808873406224</v>
      </c>
      <c r="M27" s="55"/>
      <c r="N27" s="64">
        <f>AVERAGE(C27:L27)</f>
        <v>13.88566823690606</v>
      </c>
      <c r="O27" s="64">
        <f t="shared" si="1"/>
        <v>13.160627046979691</v>
      </c>
    </row>
    <row r="28" spans="2:15" ht="12" customHeight="1" x14ac:dyDescent="0.45">
      <c r="B28" s="41" t="s">
        <v>142</v>
      </c>
      <c r="C28" s="65">
        <f>IFERROR('Historical Financial'!C6/'Historical Financial'!C52,0)</f>
        <v>2.8935793576741631</v>
      </c>
      <c r="D28" s="65">
        <f>IFERROR('Historical Financial'!D6/'Historical Financial'!D52,0)</f>
        <v>2.7125252565667077</v>
      </c>
      <c r="E28" s="65">
        <f>IFERROR('Historical Financial'!E6/'Historical Financial'!E52,0)</f>
        <v>2.8859280651089527</v>
      </c>
      <c r="F28" s="65">
        <f>IFERROR('Historical Financial'!F6/'Historical Financial'!F52,0)</f>
        <v>3.011557836944379</v>
      </c>
      <c r="G28" s="65">
        <f>IFERROR('Historical Financial'!G6/'Historical Financial'!G52,0)</f>
        <v>3.1373239665870187</v>
      </c>
      <c r="H28" s="65">
        <f>IFERROR('Historical Financial'!H6/'Historical Financial'!H52,0)</f>
        <v>2.864868535419383</v>
      </c>
      <c r="I28" s="65">
        <f>IFERROR('Historical Financial'!I6/'Historical Financial'!I52,0)</f>
        <v>2.748416251559417</v>
      </c>
      <c r="J28" s="65">
        <f>IFERROR('Historical Financial'!J6/'Historical Financial'!J52,0)</f>
        <v>2.8210997719895041</v>
      </c>
      <c r="K28" s="65">
        <f>IFERROR('Historical Financial'!K6/'Historical Financial'!K52,0)</f>
        <v>1.8221990274159414</v>
      </c>
      <c r="L28" s="65">
        <f>IFERROR('Historical Financial'!L6/'Historical Financial'!L52,0)</f>
        <v>1.8669663426182013</v>
      </c>
      <c r="N28" s="65">
        <f t="shared" si="0"/>
        <v>2.6764464411883671</v>
      </c>
      <c r="O28" s="65">
        <f t="shared" si="1"/>
        <v>2.8429841537044434</v>
      </c>
    </row>
    <row r="29" spans="2:15" ht="12" customHeight="1" x14ac:dyDescent="0.45">
      <c r="B29" s="41" t="s">
        <v>143</v>
      </c>
      <c r="C29" s="65">
        <f>IFERROR('Historical Financial'!C6/'Historical Financial'!C62,0)</f>
        <v>4.0739713077267785</v>
      </c>
      <c r="D29" s="65">
        <f>IFERROR('Historical Financial'!D6/'Historical Financial'!D62,0)</f>
        <v>4.6660265939874463</v>
      </c>
      <c r="E29" s="65">
        <f>IFERROR('Historical Financial'!E6/'Historical Financial'!E62,0)</f>
        <v>4.7057259840779944</v>
      </c>
      <c r="F29" s="65">
        <f>IFERROR('Historical Financial'!F6/'Historical Financial'!F62,0)</f>
        <v>4.5081253807800863</v>
      </c>
      <c r="G29" s="65">
        <f>IFERROR('Historical Financial'!G6/'Historical Financial'!G62,0)</f>
        <v>5.629235469004632</v>
      </c>
      <c r="H29" s="65">
        <f>IFERROR('Historical Financial'!H6/'Historical Financial'!H62,0)</f>
        <v>5.1583835743121886</v>
      </c>
      <c r="I29" s="65">
        <f>IFERROR('Historical Financial'!I6/'Historical Financial'!I62,0)</f>
        <v>5.4821597963388644</v>
      </c>
      <c r="J29" s="65">
        <f>IFERROR('Historical Financial'!J6/'Historical Financial'!J62,0)</f>
        <v>5.1017185666643226</v>
      </c>
      <c r="K29" s="65">
        <f>IFERROR('Historical Financial'!K6/'Historical Financial'!K62,0)</f>
        <v>5.4907649809522097</v>
      </c>
      <c r="L29" s="65">
        <f>IFERROR('Historical Financial'!L6/'Historical Financial'!L62,0)</f>
        <v>4.8940945745865871</v>
      </c>
      <c r="N29" s="65">
        <f t="shared" si="0"/>
        <v>4.9710206228431115</v>
      </c>
      <c r="O29" s="65">
        <f t="shared" si="1"/>
        <v>4.9979065706254548</v>
      </c>
    </row>
    <row r="30" spans="2:15" ht="12" customHeight="1" x14ac:dyDescent="0.45">
      <c r="B30" s="41" t="s">
        <v>144</v>
      </c>
      <c r="C30" s="65">
        <f>IFERROR('Historical Financial'!C6/'Historical Financial'!C55,0)</f>
        <v>1.4236003260543137</v>
      </c>
      <c r="D30" s="65">
        <f>IFERROR('Historical Financial'!D6/'Historical Financial'!D55,0)</f>
        <v>1.4826498767656842</v>
      </c>
      <c r="E30" s="65">
        <f>IFERROR('Historical Financial'!E6/'Historical Financial'!E55,0)</f>
        <v>1.4204031528621268</v>
      </c>
      <c r="F30" s="65">
        <f>IFERROR('Historical Financial'!F6/'Historical Financial'!F55,0)</f>
        <v>1.4758889628376797</v>
      </c>
      <c r="G30" s="65">
        <f>IFERROR('Historical Financial'!G6/'Historical Financial'!G55,0)</f>
        <v>0.82681768422208568</v>
      </c>
      <c r="H30" s="65">
        <f>IFERROR('Historical Financial'!H6/'Historical Financial'!H55,0)</f>
        <v>0.96497584239711298</v>
      </c>
      <c r="I30" s="65">
        <f>IFERROR('Historical Financial'!I6/'Historical Financial'!I55,0)</f>
        <v>0.98619135114113032</v>
      </c>
      <c r="J30" s="65">
        <f>IFERROR('Historical Financial'!J6/'Historical Financial'!J55,0)</f>
        <v>1.0545614244485861</v>
      </c>
      <c r="K30" s="65">
        <f>IFERROR('Historical Financial'!K6/'Historical Financial'!K55,0)</f>
        <v>0.78551134162280001</v>
      </c>
      <c r="L30" s="65">
        <f>IFERROR('Historical Financial'!L6/'Historical Financial'!L55,0)</f>
        <v>0.82033949128456507</v>
      </c>
      <c r="N30" s="65">
        <f t="shared" si="0"/>
        <v>1.1240939453636085</v>
      </c>
      <c r="O30" s="65">
        <f t="shared" si="1"/>
        <v>1.0203763877948582</v>
      </c>
    </row>
    <row r="31" spans="2:15" ht="12" customHeight="1" x14ac:dyDescent="0.45">
      <c r="B31" s="58" t="s">
        <v>145</v>
      </c>
      <c r="C31" s="63">
        <f>IFERROR('Historical Financial'!C6/SUM('Historical Financial'!C49:C50),0)</f>
        <v>1.0623274218566165</v>
      </c>
      <c r="D31" s="63">
        <f>IFERROR('Historical Financial'!D6/SUM('Historical Financial'!D49:D50),0)</f>
        <v>1.0820445295666747</v>
      </c>
      <c r="E31" s="63">
        <f>IFERROR('Historical Financial'!E6/SUM('Historical Financial'!E49:E50),0)</f>
        <v>0.96924597531145129</v>
      </c>
      <c r="F31" s="63">
        <f>IFERROR('Historical Financial'!F6/SUM('Historical Financial'!F49:F50),0)</f>
        <v>0.98906254901666601</v>
      </c>
      <c r="G31" s="63">
        <f>IFERROR('Historical Financial'!G6/SUM('Historical Financial'!G49:G50),0)</f>
        <v>0.69761257081143058</v>
      </c>
      <c r="H31" s="63">
        <f>IFERROR('Historical Financial'!H6/SUM('Historical Financial'!H49:H50),0)</f>
        <v>0.79824018835172295</v>
      </c>
      <c r="I31" s="63">
        <f>IFERROR('Historical Financial'!I6/SUM('Historical Financial'!I49:I50),0)</f>
        <v>0.82059300195351459</v>
      </c>
      <c r="J31" s="63">
        <f>IFERROR('Historical Financial'!J6/SUM('Historical Financial'!J49:J50),0)</f>
        <v>0.84680257865379427</v>
      </c>
      <c r="K31" s="63">
        <f>IFERROR('Historical Financial'!K6/SUM('Historical Financial'!K49:K50),0)</f>
        <v>0.94700435143014261</v>
      </c>
      <c r="L31" s="63">
        <f>IFERROR('Historical Financial'!L6/SUM('Historical Financial'!L49:L50),0)</f>
        <v>0.88086743315860927</v>
      </c>
      <c r="M31" s="61"/>
      <c r="N31" s="63">
        <f t="shared" si="0"/>
        <v>0.90938006001106242</v>
      </c>
      <c r="O31" s="63">
        <f t="shared" si="1"/>
        <v>0.91393589229437588</v>
      </c>
    </row>
    <row r="32" spans="2:15" ht="12" customHeight="1" x14ac:dyDescent="0.45"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N32" s="42"/>
      <c r="O32" s="42"/>
    </row>
    <row r="33" spans="2:15" ht="12" customHeight="1" x14ac:dyDescent="0.45">
      <c r="B33" s="52" t="s">
        <v>146</v>
      </c>
      <c r="C33" s="66">
        <f>IFERROR(365/C27,0)</f>
        <v>32.582784101354015</v>
      </c>
      <c r="D33" s="66">
        <f t="shared" ref="D33:L33" si="4">IFERROR(365/D27,0)</f>
        <v>31.896549180992839</v>
      </c>
      <c r="E33" s="66">
        <f t="shared" si="4"/>
        <v>34.719009295193935</v>
      </c>
      <c r="F33" s="66">
        <f t="shared" si="4"/>
        <v>34.255085154795552</v>
      </c>
      <c r="G33" s="66">
        <f t="shared" si="4"/>
        <v>34.934624619452094</v>
      </c>
      <c r="H33" s="66">
        <f t="shared" si="4"/>
        <v>23.951136137382854</v>
      </c>
      <c r="I33" s="66">
        <f t="shared" si="4"/>
        <v>24.532850933211645</v>
      </c>
      <c r="J33" s="66">
        <f t="shared" si="4"/>
        <v>21.141048206652176</v>
      </c>
      <c r="K33" s="66">
        <f t="shared" si="4"/>
        <v>21.525514851192138</v>
      </c>
      <c r="L33" s="66">
        <f t="shared" si="4"/>
        <v>18.019522314865792</v>
      </c>
      <c r="M33" s="55"/>
      <c r="N33" s="66">
        <f t="shared" si="0"/>
        <v>27.755812479509309</v>
      </c>
      <c r="O33" s="66">
        <f t="shared" si="1"/>
        <v>28.214700057102242</v>
      </c>
    </row>
    <row r="34" spans="2:15" ht="12" customHeight="1" x14ac:dyDescent="0.45">
      <c r="B34" s="41" t="s">
        <v>147</v>
      </c>
      <c r="C34" s="67">
        <f>IFERROR(365/C28,0)</f>
        <v>126.14134775048444</v>
      </c>
      <c r="D34" s="67">
        <f t="shared" ref="D34:L34" si="5">IFERROR(365/D28,0)</f>
        <v>134.56095906070459</v>
      </c>
      <c r="E34" s="67">
        <f t="shared" si="5"/>
        <v>126.47577894018649</v>
      </c>
      <c r="F34" s="67">
        <f t="shared" si="5"/>
        <v>121.19973109011927</v>
      </c>
      <c r="G34" s="67">
        <f t="shared" si="5"/>
        <v>116.34118882439492</v>
      </c>
      <c r="H34" s="67">
        <f t="shared" si="5"/>
        <v>127.40549714144852</v>
      </c>
      <c r="I34" s="67">
        <f t="shared" si="5"/>
        <v>132.80375554208848</v>
      </c>
      <c r="J34" s="67">
        <f t="shared" si="5"/>
        <v>129.38216635372441</v>
      </c>
      <c r="K34" s="67">
        <f t="shared" si="5"/>
        <v>200.30742773340523</v>
      </c>
      <c r="L34" s="67">
        <f t="shared" si="5"/>
        <v>195.50432788634546</v>
      </c>
      <c r="N34" s="67">
        <f t="shared" si="0"/>
        <v>141.01221803229018</v>
      </c>
      <c r="O34" s="67">
        <f t="shared" si="1"/>
        <v>128.39383174758646</v>
      </c>
    </row>
    <row r="35" spans="2:15" ht="12" customHeight="1" x14ac:dyDescent="0.45">
      <c r="B35" s="41" t="s">
        <v>148</v>
      </c>
      <c r="C35" s="67">
        <f>IFERROR(365/C29,0)</f>
        <v>89.593169030850419</v>
      </c>
      <c r="D35" s="67">
        <f t="shared" ref="D35:L35" si="6">IFERROR(365/D29,0)</f>
        <v>78.225014934619551</v>
      </c>
      <c r="E35" s="67">
        <f t="shared" si="6"/>
        <v>77.565077362131078</v>
      </c>
      <c r="F35" s="67">
        <f t="shared" si="6"/>
        <v>80.964917603254506</v>
      </c>
      <c r="G35" s="67">
        <f t="shared" si="6"/>
        <v>64.840066117280344</v>
      </c>
      <c r="H35" s="67">
        <f t="shared" si="6"/>
        <v>70.758600003620046</v>
      </c>
      <c r="I35" s="67">
        <f t="shared" si="6"/>
        <v>66.579598836895812</v>
      </c>
      <c r="J35" s="67">
        <f t="shared" si="6"/>
        <v>71.544518818616339</v>
      </c>
      <c r="K35" s="67">
        <f t="shared" si="6"/>
        <v>66.475254589516524</v>
      </c>
      <c r="L35" s="67">
        <f t="shared" si="6"/>
        <v>74.579678516088379</v>
      </c>
      <c r="N35" s="67">
        <f t="shared" si="0"/>
        <v>74.11258958128731</v>
      </c>
      <c r="O35" s="67">
        <f t="shared" si="1"/>
        <v>73.062098667352359</v>
      </c>
    </row>
    <row r="36" spans="2:15" ht="12" customHeight="1" x14ac:dyDescent="0.45">
      <c r="B36" s="58" t="s">
        <v>149</v>
      </c>
      <c r="C36" s="68">
        <f>IFERROR(SUM(C33,C35)-C34,0)</f>
        <v>-3.9653946182800155</v>
      </c>
      <c r="D36" s="68">
        <f t="shared" ref="D36:L36" si="7">IFERROR(SUM(D33,D35)-D34,0)</f>
        <v>-24.439394945092204</v>
      </c>
      <c r="E36" s="68">
        <f t="shared" si="7"/>
        <v>-14.191692282861467</v>
      </c>
      <c r="F36" s="68">
        <f t="shared" si="7"/>
        <v>-5.9797283320692145</v>
      </c>
      <c r="G36" s="68">
        <f t="shared" si="7"/>
        <v>-16.566498087662481</v>
      </c>
      <c r="H36" s="68">
        <f t="shared" si="7"/>
        <v>-32.695761000445614</v>
      </c>
      <c r="I36" s="68">
        <f t="shared" si="7"/>
        <v>-41.691305771981021</v>
      </c>
      <c r="J36" s="68">
        <f t="shared" si="7"/>
        <v>-36.696599328455903</v>
      </c>
      <c r="K36" s="68">
        <f t="shared" si="7"/>
        <v>-112.30665829269657</v>
      </c>
      <c r="L36" s="68">
        <f t="shared" si="7"/>
        <v>-102.90512705539129</v>
      </c>
      <c r="M36" s="61"/>
      <c r="N36" s="68">
        <f t="shared" si="0"/>
        <v>-39.143815971493574</v>
      </c>
      <c r="O36" s="68">
        <f t="shared" si="1"/>
        <v>-28.567577972768909</v>
      </c>
    </row>
    <row r="37" spans="2:15" ht="12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N37" s="42"/>
      <c r="O37" s="42"/>
    </row>
    <row r="38" spans="2:15" ht="12" customHeight="1" x14ac:dyDescent="0.45">
      <c r="B38" s="69" t="s">
        <v>150</v>
      </c>
      <c r="C38" s="70">
        <f>IFERROR('Historical Financial'!C102/'Historical Financial'!C6,0)</f>
        <v>1.7478987544714567E-2</v>
      </c>
      <c r="D38" s="70">
        <f>IFERROR('Historical Financial'!D102/'Historical Financial'!D6,0)</f>
        <v>0.10915178736051803</v>
      </c>
      <c r="E38" s="70">
        <f>IFERROR('Historical Financial'!E102/'Historical Financial'!E6,0)</f>
        <v>5.2235028281746351E-2</v>
      </c>
      <c r="F38" s="70">
        <f>IFERROR('Historical Financial'!F102/'Historical Financial'!F6,0)</f>
        <v>2.8959525615389919E-2</v>
      </c>
      <c r="G38" s="70">
        <f>IFERROR('Historical Financial'!G102/'Historical Financial'!G6,0)</f>
        <v>0.11237447366618866</v>
      </c>
      <c r="H38" s="70">
        <f>IFERROR('Historical Financial'!H102/'Historical Financial'!H6,0)</f>
        <v>0.14273364230225227</v>
      </c>
      <c r="I38" s="70">
        <f>IFERROR('Historical Financial'!I102/'Historical Financial'!I6,0)</f>
        <v>0.12200843918531198</v>
      </c>
      <c r="J38" s="70">
        <f>IFERROR('Historical Financial'!J102/'Historical Financial'!J6,0)</f>
        <v>0.10599891461754779</v>
      </c>
      <c r="K38" s="70">
        <f>IFERROR('Historical Financial'!K102/'Historical Financial'!K6,0)</f>
        <v>0.12731941982855283</v>
      </c>
      <c r="L38" s="70">
        <f>IFERROR('Historical Financial'!L102/'Historical Financial'!L6,0)</f>
        <v>0.1167536027880102</v>
      </c>
      <c r="M38" s="55"/>
      <c r="N38" s="54">
        <f t="shared" si="0"/>
        <v>9.3501382119023244E-2</v>
      </c>
      <c r="O38" s="54">
        <f t="shared" si="1"/>
        <v>0.11076313051335335</v>
      </c>
    </row>
    <row r="39" spans="2:15" ht="12" customHeight="1" x14ac:dyDescent="0.45">
      <c r="B39" s="40" t="s">
        <v>151</v>
      </c>
      <c r="C39" s="71">
        <f>IFERROR('Historical Financial'!C102/'Historical Financial'!C66,0)</f>
        <v>1.1723376817628726E-2</v>
      </c>
      <c r="D39" s="71">
        <f>IFERROR('Historical Financial'!D102/'Historical Financial'!D66,0)</f>
        <v>7.7475472207768278E-2</v>
      </c>
      <c r="E39" s="71">
        <f>IFERROR('Historical Financial'!E102/'Historical Financial'!E66,0)</f>
        <v>3.4031944141725841E-2</v>
      </c>
      <c r="F39" s="71">
        <f>IFERROR('Historical Financial'!F102/'Historical Financial'!F66,0)</f>
        <v>1.9300264321715187E-2</v>
      </c>
      <c r="G39" s="71">
        <f>IFERROR('Historical Financial'!G102/'Historical Financial'!G66,0)</f>
        <v>5.8625976016941445E-2</v>
      </c>
      <c r="H39" s="71">
        <f>IFERROR('Historical Financial'!H102/'Historical Financial'!H66,0)</f>
        <v>8.1907940618721503E-2</v>
      </c>
      <c r="I39" s="71">
        <f>IFERROR('Historical Financial'!I102/'Historical Financial'!I66,0)</f>
        <v>7.1934014302342086E-2</v>
      </c>
      <c r="J39" s="71">
        <f>IFERROR('Historical Financial'!J102/'Historical Financial'!J66,0)</f>
        <v>6.4184542200787356E-2</v>
      </c>
      <c r="K39" s="71">
        <f>IFERROR('Historical Financial'!K102/'Historical Financial'!K66,0)</f>
        <v>6.9443472977127066E-2</v>
      </c>
      <c r="L39" s="71">
        <f>IFERROR('Historical Financial'!L102/'Historical Financial'!L66,0)</f>
        <v>6.4623309253794003E-2</v>
      </c>
      <c r="N39" s="57">
        <f t="shared" si="0"/>
        <v>5.5325031285855156E-2</v>
      </c>
      <c r="O39" s="57">
        <f t="shared" si="1"/>
        <v>6.4403925727290673E-2</v>
      </c>
    </row>
    <row r="40" spans="2:15" ht="12" customHeight="1" x14ac:dyDescent="0.45">
      <c r="B40" s="72" t="s">
        <v>152</v>
      </c>
      <c r="C40" s="73">
        <f>IFERROR('Historical Financial'!C102/'Historical Financial'!C51,0)</f>
        <v>8.5668919168420662E-2</v>
      </c>
      <c r="D40" s="73">
        <f>IFERROR('Historical Financial'!D102/'Historical Financial'!D51,0)</f>
        <v>0.9408055329536209</v>
      </c>
      <c r="E40" s="73">
        <f>IFERROR('Historical Financial'!E102/'Historical Financial'!E51,0)</f>
        <v>0.33346447104666632</v>
      </c>
      <c r="F40" s="73">
        <f>IFERROR('Historical Financial'!F102/'Historical Financial'!F51,0)</f>
        <v>0.1840329506616423</v>
      </c>
      <c r="G40" s="73">
        <f>IFERROR('Historical Financial'!G102/'Historical Financial'!G51,0)</f>
        <v>0.68271218921781229</v>
      </c>
      <c r="H40" s="73">
        <f>IFERROR('Historical Financial'!H102/'Historical Financial'!H51,0)</f>
        <v>1.0137430748982279</v>
      </c>
      <c r="I40" s="73">
        <f>IFERROR('Historical Financial'!I102/'Historical Financial'!I51,0)</f>
        <v>1.0736467872040567</v>
      </c>
      <c r="J40" s="73">
        <f>IFERROR('Historical Financial'!J102/'Historical Financial'!J51,0)</f>
        <v>0.91310217244568892</v>
      </c>
      <c r="K40" s="73">
        <f>IFERROR('Historical Financial'!K102/'Historical Financial'!K51,0)</f>
        <v>0.55676661240876335</v>
      </c>
      <c r="L40" s="73">
        <f>IFERROR('Historical Financial'!L102/'Historical Financial'!L51,0)</f>
        <v>0.85970543490980833</v>
      </c>
      <c r="M40" s="61"/>
      <c r="N40" s="60">
        <f t="shared" si="0"/>
        <v>0.66436481449147089</v>
      </c>
      <c r="O40" s="60">
        <f t="shared" si="1"/>
        <v>0.77120881206381031</v>
      </c>
    </row>
  </sheetData>
  <mergeCells count="1">
    <mergeCell ref="B2:O2"/>
  </mergeCells>
  <pageMargins left="0.38" right="0.28999999999999998" top="0.75" bottom="0.75" header="0.3" footer="0.3"/>
  <pageSetup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C4C0DF35-D06C-4C44-8E61-E9FAC153C10A}">
          <x14:colorSeries theme="1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1"/>
          <x14:colorLow theme="8" tint="-0.249977111117893"/>
          <x14:sparklines>
            <x14:sparkline>
              <xm:f>'Ratio Analysis'!C5:L5</xm:f>
              <xm:sqref>M5</xm:sqref>
            </x14:sparkline>
            <x14:sparkline>
              <xm:f>'Ratio Analysis'!C6:L6</xm:f>
              <xm:sqref>M6</xm:sqref>
            </x14:sparkline>
            <x14:sparkline>
              <xm:f>'Ratio Analysis'!C7:L7</xm:f>
              <xm:sqref>M7</xm:sqref>
            </x14:sparkline>
            <x14:sparkline>
              <xm:f>'Ratio Analysis'!C8:L8</xm:f>
              <xm:sqref>M8</xm:sqref>
            </x14:sparkline>
            <x14:sparkline>
              <xm:f>'Ratio Analysis'!C9:L9</xm:f>
              <xm:sqref>M9</xm:sqref>
            </x14:sparkline>
            <x14:sparkline>
              <xm:f>'Ratio Analysis'!C10:L10</xm:f>
              <xm:sqref>M10</xm:sqref>
            </x14:sparkline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  <x14:sparkline>
              <xm:f>'Ratio Analysis'!C16:L16</xm:f>
              <xm:sqref>M16</xm:sqref>
            </x14:sparkline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  <x14:sparkline>
              <xm:f>'Ratio Analysis'!C20:L20</xm:f>
              <xm:sqref>M20</xm:sqref>
            </x14:sparkline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  <x14:sparkline>
              <xm:f>'Ratio Analysis'!C26:L26</xm:f>
              <xm:sqref>M26</xm:sqref>
            </x14:sparkline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  <x14:sparkline>
              <xm:f>'Ratio Analysis'!C32:L32</xm:f>
              <xm:sqref>M32</xm:sqref>
            </x14:sparkline>
            <x14:sparkline>
              <xm:f>'Ratio Analysis'!C33:L33</xm:f>
              <xm:sqref>M33</xm:sqref>
            </x14:sparkline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Analysis'!C37:L37</xm:f>
              <xm:sqref>M37</xm:sqref>
            </x14:sparkline>
            <x14:sparkline>
              <xm:f>'Ratio Analysis'!C38:L38</xm:f>
              <xm:sqref>M38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10DE-230C-456A-ACBD-A803E311DEB5}">
  <sheetPr codeName="Sheet4"/>
  <dimension ref="B2:O18"/>
  <sheetViews>
    <sheetView showGridLines="0" workbookViewId="0">
      <selection activeCell="O24" sqref="O24"/>
    </sheetView>
  </sheetViews>
  <sheetFormatPr defaultRowHeight="13.8" x14ac:dyDescent="0.45"/>
  <cols>
    <col min="1" max="1" width="1.76171875" customWidth="1"/>
    <col min="4" max="4" width="8.37890625" customWidth="1"/>
    <col min="5" max="5" width="7.09375" customWidth="1"/>
    <col min="6" max="6" width="1.5703125" customWidth="1"/>
    <col min="9" max="9" width="8" customWidth="1"/>
    <col min="10" max="10" width="11.80859375" customWidth="1"/>
    <col min="11" max="11" width="1.7109375" customWidth="1"/>
  </cols>
  <sheetData>
    <row r="2" spans="2:15" ht="14.1" x14ac:dyDescent="0.5">
      <c r="B2" s="126" t="s">
        <v>159</v>
      </c>
      <c r="C2" s="126"/>
      <c r="D2" s="126"/>
      <c r="E2" s="126"/>
      <c r="G2" s="126" t="s">
        <v>160</v>
      </c>
      <c r="H2" s="126"/>
      <c r="I2" s="126"/>
      <c r="J2" s="126"/>
      <c r="L2" s="126" t="s">
        <v>162</v>
      </c>
      <c r="M2" s="126"/>
      <c r="N2" s="126"/>
      <c r="O2" s="126"/>
    </row>
    <row r="3" spans="2:15" x14ac:dyDescent="0.45">
      <c r="B3" s="45" t="s">
        <v>156</v>
      </c>
      <c r="C3" s="46" t="s">
        <v>157</v>
      </c>
      <c r="D3" s="46" t="s">
        <v>158</v>
      </c>
      <c r="E3" s="46" t="s">
        <v>124</v>
      </c>
      <c r="G3" s="45" t="s">
        <v>156</v>
      </c>
      <c r="H3" s="46" t="s">
        <v>157</v>
      </c>
      <c r="I3" s="46" t="s">
        <v>161</v>
      </c>
      <c r="J3" s="46" t="s">
        <v>125</v>
      </c>
      <c r="L3" s="45" t="s">
        <v>156</v>
      </c>
      <c r="M3" s="46" t="s">
        <v>157</v>
      </c>
      <c r="N3" s="46" t="s">
        <v>76</v>
      </c>
      <c r="O3" s="46" t="s">
        <v>77</v>
      </c>
    </row>
    <row r="4" spans="2:15" x14ac:dyDescent="0.45">
      <c r="B4">
        <v>1</v>
      </c>
      <c r="C4" s="44">
        <f>'Historical Financial'!$C$3</f>
        <v>42460</v>
      </c>
      <c r="D4" s="38">
        <f>'Historical Financial'!$C$6</f>
        <v>6636.54</v>
      </c>
      <c r="E4" s="47" t="s">
        <v>61</v>
      </c>
      <c r="G4">
        <v>1</v>
      </c>
      <c r="H4" s="44">
        <f>'Historical Financial'!$C$3</f>
        <v>42460</v>
      </c>
      <c r="I4" s="38">
        <f>'Historical Financial'!C18</f>
        <v>1309.5899999999995</v>
      </c>
      <c r="J4" s="39" t="s">
        <v>61</v>
      </c>
      <c r="L4">
        <v>1</v>
      </c>
      <c r="M4" s="44">
        <f>'Historical Financial'!$C$3</f>
        <v>42460</v>
      </c>
      <c r="N4" s="38">
        <f>'Historical Financial'!C38</f>
        <v>13.364205065608779</v>
      </c>
      <c r="O4" s="43" t="s">
        <v>61</v>
      </c>
    </row>
    <row r="5" spans="2:15" x14ac:dyDescent="0.45">
      <c r="B5">
        <f>B4+1</f>
        <v>2</v>
      </c>
      <c r="C5" s="44">
        <f>365+C4</f>
        <v>42825</v>
      </c>
      <c r="D5" s="38">
        <f>'Historical Financial'!$D$6</f>
        <v>6779.55</v>
      </c>
      <c r="E5" s="36">
        <f>D5/D4</f>
        <v>1.0215488793859451</v>
      </c>
      <c r="G5">
        <f>G4+1</f>
        <v>2</v>
      </c>
      <c r="H5" s="44">
        <f>365+H4</f>
        <v>42825</v>
      </c>
      <c r="I5" s="38">
        <f>'Historical Financial'!D18</f>
        <v>1718.0499999999993</v>
      </c>
      <c r="J5" s="37">
        <f>I5/I4</f>
        <v>1.311899144006903</v>
      </c>
      <c r="L5">
        <f>L4+1</f>
        <v>2</v>
      </c>
      <c r="M5" s="44">
        <f>365+M4</f>
        <v>42825</v>
      </c>
      <c r="N5" s="38">
        <f>'Historical Financial'!D38</f>
        <v>19.868324687213903</v>
      </c>
      <c r="O5" s="37">
        <f>N5/N4</f>
        <v>1.4866821176175091</v>
      </c>
    </row>
    <row r="6" spans="2:15" x14ac:dyDescent="0.45">
      <c r="B6">
        <f t="shared" ref="B6:B17" si="0">B5+1</f>
        <v>3</v>
      </c>
      <c r="C6" s="44">
        <f t="shared" ref="C6:C18" si="1">365+C5</f>
        <v>43190</v>
      </c>
      <c r="D6" s="38">
        <f>'Historical Financial'!$E$6</f>
        <v>6815.35</v>
      </c>
      <c r="E6" s="36">
        <f t="shared" ref="E6:E18" si="2">D6/D5</f>
        <v>1.0052805864696035</v>
      </c>
      <c r="G6">
        <f t="shared" ref="G6:G17" si="3">G5+1</f>
        <v>3</v>
      </c>
      <c r="H6" s="44">
        <f t="shared" ref="H6:H18" si="4">365+H5</f>
        <v>43190</v>
      </c>
      <c r="I6" s="38">
        <f>'Historical Financial'!E18</f>
        <v>1696.5499999999997</v>
      </c>
      <c r="J6" s="37">
        <f t="shared" ref="J6:J18" si="5">I6/I5</f>
        <v>0.98748581240359734</v>
      </c>
      <c r="L6">
        <f t="shared" ref="L6:L17" si="6">L5+1</f>
        <v>3</v>
      </c>
      <c r="M6" s="44">
        <f t="shared" ref="M6:M18" si="7">365+M5</f>
        <v>43190</v>
      </c>
      <c r="N6" s="38">
        <f>'Historical Financial'!E38</f>
        <v>20.626792798291113</v>
      </c>
      <c r="O6" s="37">
        <f t="shared" ref="O6:O18" si="8">N6/N5</f>
        <v>1.0381747390893665</v>
      </c>
    </row>
    <row r="7" spans="2:15" x14ac:dyDescent="0.45">
      <c r="B7">
        <f t="shared" si="0"/>
        <v>4</v>
      </c>
      <c r="C7" s="44">
        <f t="shared" si="1"/>
        <v>43555</v>
      </c>
      <c r="D7" s="38">
        <f>'Historical Financial'!$F$6</f>
        <v>7251.5</v>
      </c>
      <c r="E7" s="36">
        <f t="shared" si="2"/>
        <v>1.063995246025516</v>
      </c>
      <c r="G7">
        <f t="shared" si="3"/>
        <v>4</v>
      </c>
      <c r="H7" s="44">
        <f t="shared" si="4"/>
        <v>43555</v>
      </c>
      <c r="I7" s="38">
        <f>'Historical Financial'!F18</f>
        <v>1754.1399999999996</v>
      </c>
      <c r="J7" s="37">
        <f t="shared" si="5"/>
        <v>1.0339453597005688</v>
      </c>
      <c r="L7">
        <f t="shared" si="6"/>
        <v>4</v>
      </c>
      <c r="M7" s="44">
        <f t="shared" si="7"/>
        <v>43555</v>
      </c>
      <c r="N7" s="38">
        <f>'Historical Financial'!F38</f>
        <v>20.113213304851993</v>
      </c>
      <c r="O7" s="37">
        <f t="shared" si="8"/>
        <v>0.97510134035565288</v>
      </c>
    </row>
    <row r="8" spans="2:15" x14ac:dyDescent="0.45">
      <c r="B8">
        <f t="shared" si="0"/>
        <v>5</v>
      </c>
      <c r="C8" s="44">
        <f t="shared" si="1"/>
        <v>43920</v>
      </c>
      <c r="D8" s="38">
        <f>'Historical Financial'!$G$6</f>
        <v>9637.42</v>
      </c>
      <c r="E8" s="36">
        <f t="shared" si="2"/>
        <v>1.3290243397917672</v>
      </c>
      <c r="G8">
        <f t="shared" si="3"/>
        <v>5</v>
      </c>
      <c r="H8" s="44">
        <f t="shared" si="4"/>
        <v>43920</v>
      </c>
      <c r="I8" s="38">
        <f>'Historical Financial'!G18</f>
        <v>2570.31</v>
      </c>
      <c r="J8" s="37">
        <f t="shared" si="5"/>
        <v>1.4652821325549845</v>
      </c>
      <c r="L8">
        <f t="shared" si="6"/>
        <v>5</v>
      </c>
      <c r="M8" s="44">
        <f t="shared" si="7"/>
        <v>43920</v>
      </c>
      <c r="N8" s="38">
        <f>'Historical Financial'!G38</f>
        <v>20.653605015673978</v>
      </c>
      <c r="O8" s="37">
        <f t="shared" si="8"/>
        <v>1.0268674976311032</v>
      </c>
    </row>
    <row r="9" spans="2:15" x14ac:dyDescent="0.45">
      <c r="B9">
        <f t="shared" si="0"/>
        <v>6</v>
      </c>
      <c r="C9" s="44">
        <f t="shared" si="1"/>
        <v>44285</v>
      </c>
      <c r="D9" s="38">
        <f>'Historical Financial'!$H$6</f>
        <v>11602.03</v>
      </c>
      <c r="E9" s="36">
        <f t="shared" si="2"/>
        <v>1.2038522758165568</v>
      </c>
      <c r="G9">
        <f t="shared" si="3"/>
        <v>6</v>
      </c>
      <c r="H9" s="44">
        <f t="shared" si="4"/>
        <v>44285</v>
      </c>
      <c r="I9" s="38">
        <f>'Historical Financial'!H18</f>
        <v>2965.2200000000021</v>
      </c>
      <c r="J9" s="37">
        <f t="shared" si="5"/>
        <v>1.1536429457925317</v>
      </c>
      <c r="L9">
        <f t="shared" si="6"/>
        <v>6</v>
      </c>
      <c r="M9" s="44">
        <f t="shared" si="7"/>
        <v>44285</v>
      </c>
      <c r="N9" s="38">
        <f>'Historical Financial'!H38</f>
        <v>24.289655172413816</v>
      </c>
      <c r="O9" s="37">
        <f t="shared" si="8"/>
        <v>1.1760491765955845</v>
      </c>
    </row>
    <row r="10" spans="2:15" x14ac:dyDescent="0.45">
      <c r="B10">
        <f t="shared" si="0"/>
        <v>7</v>
      </c>
      <c r="C10" s="44">
        <f t="shared" si="1"/>
        <v>44650</v>
      </c>
      <c r="D10" s="38">
        <f>'Historical Financial'!$I$6</f>
        <v>12425.37</v>
      </c>
      <c r="E10" s="36">
        <f t="shared" si="2"/>
        <v>1.0709651673026186</v>
      </c>
      <c r="G10">
        <f t="shared" si="3"/>
        <v>7</v>
      </c>
      <c r="H10" s="44">
        <f t="shared" si="4"/>
        <v>44650</v>
      </c>
      <c r="I10" s="38">
        <f>'Historical Financial'!I18</f>
        <v>3410.6100000000024</v>
      </c>
      <c r="J10" s="37">
        <f t="shared" si="5"/>
        <v>1.1502047065647742</v>
      </c>
      <c r="L10">
        <f t="shared" si="6"/>
        <v>7</v>
      </c>
      <c r="M10" s="44">
        <f t="shared" si="7"/>
        <v>44650</v>
      </c>
      <c r="N10" s="38">
        <f>'Historical Financial'!I38</f>
        <v>28.03322884012541</v>
      </c>
      <c r="O10" s="37">
        <f t="shared" si="8"/>
        <v>1.1541221413453095</v>
      </c>
    </row>
    <row r="11" spans="2:15" x14ac:dyDescent="0.45">
      <c r="B11">
        <f t="shared" si="0"/>
        <v>8</v>
      </c>
      <c r="C11" s="44">
        <f t="shared" si="1"/>
        <v>45015</v>
      </c>
      <c r="D11" s="38">
        <f>'Historical Financial'!$J$6</f>
        <v>13783.16</v>
      </c>
      <c r="E11" s="36">
        <f t="shared" si="2"/>
        <v>1.1092756191566127</v>
      </c>
      <c r="G11">
        <f t="shared" si="3"/>
        <v>8</v>
      </c>
      <c r="H11" s="44">
        <f t="shared" si="4"/>
        <v>45015</v>
      </c>
      <c r="I11" s="38">
        <f>'Historical Financial'!J18</f>
        <v>3641.7299999999977</v>
      </c>
      <c r="J11" s="37">
        <f t="shared" si="5"/>
        <v>1.0677650039142543</v>
      </c>
      <c r="L11">
        <f t="shared" si="6"/>
        <v>8</v>
      </c>
      <c r="M11" s="44">
        <f t="shared" si="7"/>
        <v>45015</v>
      </c>
      <c r="N11" s="38">
        <f>'Historical Financial'!J38</f>
        <v>29.060329636156297</v>
      </c>
      <c r="O11" s="37">
        <f t="shared" si="8"/>
        <v>1.0366386905300307</v>
      </c>
    </row>
    <row r="12" spans="2:15" x14ac:dyDescent="0.45">
      <c r="B12">
        <f t="shared" si="0"/>
        <v>9</v>
      </c>
      <c r="C12" s="44">
        <f t="shared" si="1"/>
        <v>45380</v>
      </c>
      <c r="D12" s="38">
        <f>'Historical Financial'!$K$6</f>
        <v>15205.85</v>
      </c>
      <c r="E12" s="36">
        <f t="shared" si="2"/>
        <v>1.1032194358913341</v>
      </c>
      <c r="G12">
        <f t="shared" si="3"/>
        <v>9</v>
      </c>
      <c r="H12" s="44">
        <f t="shared" si="4"/>
        <v>45380</v>
      </c>
      <c r="I12" s="38">
        <f>'Historical Financial'!K18</f>
        <v>4211.2500000000009</v>
      </c>
      <c r="J12" s="37">
        <f t="shared" si="5"/>
        <v>1.1563872115725229</v>
      </c>
      <c r="L12">
        <f t="shared" si="6"/>
        <v>9</v>
      </c>
      <c r="M12" s="44">
        <f t="shared" si="7"/>
        <v>45380</v>
      </c>
      <c r="N12" s="38">
        <f>'Historical Financial'!K38</f>
        <v>33.446791308741794</v>
      </c>
      <c r="O12" s="37">
        <f t="shared" si="8"/>
        <v>1.1509432868623743</v>
      </c>
    </row>
    <row r="13" spans="2:15" x14ac:dyDescent="0.45">
      <c r="B13">
        <f t="shared" si="0"/>
        <v>10</v>
      </c>
      <c r="C13" s="44">
        <f t="shared" si="1"/>
        <v>45745</v>
      </c>
      <c r="D13" s="38">
        <f>'Historical Financial'!$L$6</f>
        <v>17618.3</v>
      </c>
      <c r="E13" s="36">
        <f t="shared" si="2"/>
        <v>1.1586527553540249</v>
      </c>
      <c r="G13">
        <f t="shared" si="3"/>
        <v>10</v>
      </c>
      <c r="H13" s="44">
        <f t="shared" si="4"/>
        <v>45745</v>
      </c>
      <c r="I13" s="38">
        <f>'Historical Financial'!L18</f>
        <v>4732.7199999999993</v>
      </c>
      <c r="J13" s="37">
        <f t="shared" si="5"/>
        <v>1.1238278420896404</v>
      </c>
      <c r="L13">
        <f t="shared" si="6"/>
        <v>10</v>
      </c>
      <c r="M13" s="44">
        <f t="shared" si="7"/>
        <v>45745</v>
      </c>
      <c r="N13" s="38">
        <f>'Historical Financial'!L38</f>
        <v>34.821020717534104</v>
      </c>
      <c r="O13" s="37">
        <f t="shared" si="8"/>
        <v>1.0410870327173398</v>
      </c>
    </row>
    <row r="14" spans="2:15" x14ac:dyDescent="0.45">
      <c r="B14" s="48">
        <f t="shared" si="0"/>
        <v>11</v>
      </c>
      <c r="C14" s="49">
        <f t="shared" si="1"/>
        <v>46110</v>
      </c>
      <c r="D14" s="48">
        <f>FORECAST(B14,$D$4:$D$13,$B$4:$B$13)</f>
        <v>17780.347333333335</v>
      </c>
      <c r="E14" s="50">
        <f t="shared" si="2"/>
        <v>1.0091976713606499</v>
      </c>
      <c r="G14" s="48">
        <f t="shared" si="3"/>
        <v>11</v>
      </c>
      <c r="H14" s="49">
        <f t="shared" si="4"/>
        <v>46110</v>
      </c>
      <c r="I14" s="48">
        <f>FORECAST(G14,$I$4:$I$13,$G$4:$G$13)</f>
        <v>4912.71</v>
      </c>
      <c r="J14" s="51">
        <f t="shared" si="5"/>
        <v>1.0380309842965569</v>
      </c>
      <c r="L14" s="48">
        <f t="shared" si="6"/>
        <v>11</v>
      </c>
      <c r="M14" s="49">
        <f t="shared" si="7"/>
        <v>46110</v>
      </c>
      <c r="N14" s="48">
        <f>FORECAST(L14,$N$4:$N$13,$L$4:$L$13)</f>
        <v>36.351862926991423</v>
      </c>
      <c r="O14" s="51">
        <f t="shared" si="8"/>
        <v>1.0439631629950028</v>
      </c>
    </row>
    <row r="15" spans="2:15" x14ac:dyDescent="0.45">
      <c r="B15" s="48">
        <f t="shared" si="0"/>
        <v>12</v>
      </c>
      <c r="C15" s="49">
        <f t="shared" si="1"/>
        <v>46475</v>
      </c>
      <c r="D15" s="48">
        <f t="shared" ref="D15:D18" si="9">FORECAST(B15,$D$4:$D$13,$B$4:$B$13)</f>
        <v>19053.954666666668</v>
      </c>
      <c r="E15" s="50">
        <f t="shared" si="2"/>
        <v>1.0716300592703083</v>
      </c>
      <c r="G15" s="48">
        <f t="shared" si="3"/>
        <v>12</v>
      </c>
      <c r="H15" s="49">
        <f t="shared" si="4"/>
        <v>46475</v>
      </c>
      <c r="I15" s="48">
        <f t="shared" ref="I15:I18" si="10">FORECAST(G15,$I$4:$I$13,$G$4:$G$13)</f>
        <v>5296.6541818181822</v>
      </c>
      <c r="J15" s="51">
        <f t="shared" si="5"/>
        <v>1.078153235549866</v>
      </c>
      <c r="L15" s="48">
        <f t="shared" si="6"/>
        <v>12</v>
      </c>
      <c r="M15" s="49">
        <f t="shared" si="7"/>
        <v>46475</v>
      </c>
      <c r="N15" s="48">
        <f t="shared" ref="N15:N18" si="11">FORECAST(L15,$N$4:$N$13,$L$4:$L$13)</f>
        <v>38.519889521960572</v>
      </c>
      <c r="O15" s="51">
        <f t="shared" si="8"/>
        <v>1.0596400409883637</v>
      </c>
    </row>
    <row r="16" spans="2:15" x14ac:dyDescent="0.45">
      <c r="B16" s="48">
        <f t="shared" si="0"/>
        <v>13</v>
      </c>
      <c r="C16" s="49">
        <f t="shared" si="1"/>
        <v>46840</v>
      </c>
      <c r="D16" s="48">
        <f t="shared" si="9"/>
        <v>20327.562000000002</v>
      </c>
      <c r="E16" s="50">
        <f t="shared" si="2"/>
        <v>1.0668421519634139</v>
      </c>
      <c r="G16" s="48">
        <f t="shared" si="3"/>
        <v>13</v>
      </c>
      <c r="H16" s="49">
        <f t="shared" si="4"/>
        <v>46840</v>
      </c>
      <c r="I16" s="48">
        <f t="shared" si="10"/>
        <v>5680.5983636363635</v>
      </c>
      <c r="J16" s="51">
        <f t="shared" si="5"/>
        <v>1.072488059185768</v>
      </c>
      <c r="L16" s="48">
        <f t="shared" si="6"/>
        <v>13</v>
      </c>
      <c r="M16" s="49">
        <f t="shared" si="7"/>
        <v>46840</v>
      </c>
      <c r="N16" s="48">
        <f t="shared" si="11"/>
        <v>40.687916116929721</v>
      </c>
      <c r="O16" s="51">
        <f t="shared" si="8"/>
        <v>1.0562833025191605</v>
      </c>
    </row>
    <row r="17" spans="2:15" x14ac:dyDescent="0.45">
      <c r="B17" s="48">
        <f t="shared" si="0"/>
        <v>14</v>
      </c>
      <c r="C17" s="49">
        <f t="shared" si="1"/>
        <v>47205</v>
      </c>
      <c r="D17" s="48">
        <f t="shared" si="9"/>
        <v>21601.169333333335</v>
      </c>
      <c r="E17" s="50">
        <f t="shared" si="2"/>
        <v>1.0626542097538965</v>
      </c>
      <c r="G17" s="48">
        <f t="shared" si="3"/>
        <v>14</v>
      </c>
      <c r="H17" s="49">
        <f t="shared" si="4"/>
        <v>47205</v>
      </c>
      <c r="I17" s="48">
        <f t="shared" si="10"/>
        <v>6064.5425454545457</v>
      </c>
      <c r="J17" s="51">
        <f t="shared" si="5"/>
        <v>1.0675886864799231</v>
      </c>
      <c r="L17" s="48">
        <f t="shared" si="6"/>
        <v>14</v>
      </c>
      <c r="M17" s="49">
        <f t="shared" si="7"/>
        <v>47205</v>
      </c>
      <c r="N17" s="48">
        <f t="shared" si="11"/>
        <v>42.855942711898862</v>
      </c>
      <c r="O17" s="51">
        <f t="shared" si="8"/>
        <v>1.053284286881113</v>
      </c>
    </row>
    <row r="18" spans="2:15" x14ac:dyDescent="0.45">
      <c r="B18" s="48">
        <f>B17+1</f>
        <v>15</v>
      </c>
      <c r="C18" s="49">
        <f t="shared" si="1"/>
        <v>47570</v>
      </c>
      <c r="D18" s="48">
        <f t="shared" si="9"/>
        <v>22874.776666666668</v>
      </c>
      <c r="E18" s="50">
        <f t="shared" si="2"/>
        <v>1.0589601106162339</v>
      </c>
      <c r="G18" s="48">
        <f>G17+1</f>
        <v>15</v>
      </c>
      <c r="H18" s="49">
        <f t="shared" si="4"/>
        <v>47570</v>
      </c>
      <c r="I18" s="48">
        <f t="shared" si="10"/>
        <v>6448.486727272727</v>
      </c>
      <c r="J18" s="51">
        <f t="shared" si="5"/>
        <v>1.0633096691037236</v>
      </c>
      <c r="L18" s="48">
        <f>L17+1</f>
        <v>15</v>
      </c>
      <c r="M18" s="49">
        <f t="shared" si="7"/>
        <v>47570</v>
      </c>
      <c r="N18" s="48">
        <f t="shared" si="11"/>
        <v>45.023969306868011</v>
      </c>
      <c r="O18" s="51">
        <f t="shared" si="8"/>
        <v>1.0505887038711017</v>
      </c>
    </row>
  </sheetData>
  <mergeCells count="3">
    <mergeCell ref="B2:E2"/>
    <mergeCell ref="G2:J2"/>
    <mergeCell ref="L2:O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2880-33BA-4B94-B4BD-825C120C4F9C}">
  <sheetPr codeName="Sheet5"/>
  <dimension ref="B2:M40"/>
  <sheetViews>
    <sheetView showGridLines="0" workbookViewId="0">
      <selection activeCell="C51" sqref="C51"/>
    </sheetView>
  </sheetViews>
  <sheetFormatPr defaultRowHeight="11.05" customHeight="1" x14ac:dyDescent="0.4"/>
  <cols>
    <col min="1" max="1" width="1.76171875" style="20" customWidth="1"/>
    <col min="2" max="16384" width="8.76171875" style="20"/>
  </cols>
  <sheetData>
    <row r="2" spans="2:13" ht="11.05" customHeight="1" x14ac:dyDescent="0.5">
      <c r="B2" s="126" t="str">
        <f>"Comman Size Income Statement" &amp; "-" &amp; 'Data Sheet'!B1</f>
        <v>Comman Size Income Statement-TATA CONSUMER PRODUCTS LTD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2:13" ht="5.7" customHeight="1" x14ac:dyDescent="0.4"/>
    <row r="4" spans="2:13" ht="11.05" customHeight="1" x14ac:dyDescent="0.4">
      <c r="B4" s="76" t="s">
        <v>163</v>
      </c>
      <c r="C4" s="76"/>
      <c r="D4" s="77">
        <f>'Historical Financial'!C$3</f>
        <v>42460</v>
      </c>
      <c r="E4" s="77">
        <f>'Historical Financial'!D$3</f>
        <v>42825</v>
      </c>
      <c r="F4" s="77">
        <f>'Historical Financial'!E$3</f>
        <v>43190</v>
      </c>
      <c r="G4" s="77">
        <f>'Historical Financial'!F$3</f>
        <v>43555</v>
      </c>
      <c r="H4" s="77">
        <f>'Historical Financial'!G$3</f>
        <v>43921</v>
      </c>
      <c r="I4" s="77">
        <f>'Historical Financial'!H$3</f>
        <v>44286</v>
      </c>
      <c r="J4" s="77">
        <f>'Historical Financial'!I$3</f>
        <v>44651</v>
      </c>
      <c r="K4" s="77">
        <f>'Historical Financial'!J$3</f>
        <v>45016</v>
      </c>
      <c r="L4" s="77">
        <f>'Historical Financial'!K$3</f>
        <v>45382</v>
      </c>
      <c r="M4" s="77">
        <f>'Historical Financial'!L$3</f>
        <v>45747</v>
      </c>
    </row>
    <row r="6" spans="2:13" ht="11.05" customHeight="1" x14ac:dyDescent="0.4">
      <c r="B6" s="78" t="str">
        <f>'Data Sheet'!A17</f>
        <v>Sales</v>
      </c>
      <c r="D6" s="79">
        <f>'Data Sheet'!B17/'Data Sheet'!B17</f>
        <v>1</v>
      </c>
      <c r="E6" s="79">
        <f>'Data Sheet'!C17/'Data Sheet'!C17</f>
        <v>1</v>
      </c>
      <c r="F6" s="79">
        <f>'Data Sheet'!D17/'Data Sheet'!D17</f>
        <v>1</v>
      </c>
      <c r="G6" s="79">
        <f>'Data Sheet'!E17/'Data Sheet'!E17</f>
        <v>1</v>
      </c>
      <c r="H6" s="79">
        <f>'Data Sheet'!F17/'Data Sheet'!F17</f>
        <v>1</v>
      </c>
      <c r="I6" s="79">
        <f>'Data Sheet'!G17/'Data Sheet'!G17</f>
        <v>1</v>
      </c>
      <c r="J6" s="79">
        <f>'Data Sheet'!H17/'Data Sheet'!H17</f>
        <v>1</v>
      </c>
      <c r="K6" s="79">
        <f>'Data Sheet'!I17/'Data Sheet'!I17</f>
        <v>1</v>
      </c>
      <c r="L6" s="79">
        <f>'Data Sheet'!J17/'Data Sheet'!J17</f>
        <v>1</v>
      </c>
      <c r="M6" s="79">
        <f>'Data Sheet'!K17/'Data Sheet'!K17</f>
        <v>1</v>
      </c>
    </row>
    <row r="7" spans="2:13" ht="11.05" customHeight="1" x14ac:dyDescent="0.4">
      <c r="B7" s="78" t="str">
        <f>'Data Sheet'!A18</f>
        <v>Raw Material Cost</v>
      </c>
      <c r="D7" s="79">
        <f>'Data Sheet'!B18/'Data Sheet'!B17</f>
        <v>0.54267585217598324</v>
      </c>
      <c r="E7" s="79">
        <f>'Data Sheet'!C18/'Data Sheet'!C17</f>
        <v>0.46694102115922148</v>
      </c>
      <c r="F7" s="79">
        <f>'Data Sheet'!D18/'Data Sheet'!D17</f>
        <v>0.54965775785542925</v>
      </c>
      <c r="G7" s="79">
        <f>'Data Sheet'!E18/'Data Sheet'!E17</f>
        <v>0.55465076191132867</v>
      </c>
      <c r="H7" s="79">
        <f>'Data Sheet'!F18/'Data Sheet'!F17</f>
        <v>0.5606168455873044</v>
      </c>
      <c r="I7" s="79">
        <f>'Data Sheet'!G18/'Data Sheet'!G17</f>
        <v>0.54885136480426266</v>
      </c>
      <c r="J7" s="79">
        <f>'Data Sheet'!H18/'Data Sheet'!H17</f>
        <v>0.50889591215392382</v>
      </c>
      <c r="K7" s="79">
        <f>'Data Sheet'!I18/'Data Sheet'!I17</f>
        <v>0.5156335702407866</v>
      </c>
      <c r="L7" s="79">
        <f>'Data Sheet'!J18/'Data Sheet'!J17</f>
        <v>0.48429124317285782</v>
      </c>
      <c r="M7" s="79">
        <f>'Data Sheet'!K18/'Data Sheet'!K17</f>
        <v>0.51007645459550588</v>
      </c>
    </row>
    <row r="8" spans="2:13" ht="11.05" customHeight="1" x14ac:dyDescent="0.4">
      <c r="B8" s="78" t="str">
        <f>'Data Sheet'!A19</f>
        <v>Change in Inventory</v>
      </c>
      <c r="D8" s="79">
        <f>'Data Sheet'!B19/'Data Sheet'!B17</f>
        <v>-3.030193444174223E-3</v>
      </c>
      <c r="E8" s="79">
        <f>'Data Sheet'!C19/'Data Sheet'!C17</f>
        <v>1.0177666659291545E-4</v>
      </c>
      <c r="F8" s="79">
        <f>'Data Sheet'!D19/'Data Sheet'!D17</f>
        <v>6.8668520325441823E-3</v>
      </c>
      <c r="G8" s="79">
        <f>'Data Sheet'!E19/'Data Sheet'!E17</f>
        <v>1.98717506722747E-3</v>
      </c>
      <c r="H8" s="79">
        <f>'Data Sheet'!F19/'Data Sheet'!F17</f>
        <v>-8.072699954967201E-4</v>
      </c>
      <c r="I8" s="79">
        <f>'Data Sheet'!G19/'Data Sheet'!G17</f>
        <v>1.288912371369493E-2</v>
      </c>
      <c r="J8" s="79">
        <f>'Data Sheet'!H19/'Data Sheet'!H17</f>
        <v>3.2015143211027116E-3</v>
      </c>
      <c r="K8" s="79">
        <f>'Data Sheet'!I19/'Data Sheet'!I17</f>
        <v>1.9870624733370288E-2</v>
      </c>
      <c r="L8" s="79">
        <f>'Data Sheet'!J19/'Data Sheet'!J17</f>
        <v>7.9969222371653013E-3</v>
      </c>
      <c r="M8" s="79">
        <f>'Data Sheet'!K19/'Data Sheet'!K17</f>
        <v>2.0574629788345074E-2</v>
      </c>
    </row>
    <row r="9" spans="2:13" ht="11.05" customHeight="1" x14ac:dyDescent="0.4">
      <c r="B9" s="78" t="str">
        <f>'Data Sheet'!A20</f>
        <v>Power and Fuel</v>
      </c>
      <c r="D9" s="79">
        <f>'Data Sheet'!B20/'Data Sheet'!B17</f>
        <v>1.2244332136926772E-2</v>
      </c>
      <c r="E9" s="79">
        <f>'Data Sheet'!C20/'Data Sheet'!C17</f>
        <v>1.2270725933137154E-2</v>
      </c>
      <c r="F9" s="79">
        <f>'Data Sheet'!D20/'Data Sheet'!D17</f>
        <v>1.2775572787897906E-2</v>
      </c>
      <c r="G9" s="79">
        <f>'Data Sheet'!E20/'Data Sheet'!E17</f>
        <v>1.2311935461628629E-2</v>
      </c>
      <c r="H9" s="79">
        <f>'Data Sheet'!F20/'Data Sheet'!F17</f>
        <v>1.0774667909046198E-2</v>
      </c>
      <c r="I9" s="79">
        <f>'Data Sheet'!G20/'Data Sheet'!G17</f>
        <v>8.3916349121662317E-3</v>
      </c>
      <c r="J9" s="79">
        <f>'Data Sheet'!H20/'Data Sheet'!H17</f>
        <v>9.9715340468734537E-3</v>
      </c>
      <c r="K9" s="79">
        <f>'Data Sheet'!I20/'Data Sheet'!I17</f>
        <v>1.0841490630595597E-2</v>
      </c>
      <c r="L9" s="79">
        <f>'Data Sheet'!J20/'Data Sheet'!J17</f>
        <v>1.0318397195816084E-2</v>
      </c>
      <c r="M9" s="79">
        <f>'Data Sheet'!K20/'Data Sheet'!K17</f>
        <v>8.8663491937360592E-3</v>
      </c>
    </row>
    <row r="10" spans="2:13" ht="11.05" customHeight="1" x14ac:dyDescent="0.4">
      <c r="B10" s="78" t="str">
        <f>'Data Sheet'!A21</f>
        <v>Other Mfr. Exp</v>
      </c>
      <c r="D10" s="79">
        <f>'Data Sheet'!B21/'Data Sheet'!B17</f>
        <v>2.8677594047500653E-2</v>
      </c>
      <c r="E10" s="79">
        <f>'Data Sheet'!C21/'Data Sheet'!C17</f>
        <v>8.8148918438539434E-2</v>
      </c>
      <c r="F10" s="79">
        <f>'Data Sheet'!D21/'Data Sheet'!D17</f>
        <v>2.8566397910598867E-2</v>
      </c>
      <c r="G10" s="79">
        <f>'Data Sheet'!E21/'Data Sheet'!E17</f>
        <v>2.8902985589188444E-2</v>
      </c>
      <c r="H10" s="79">
        <f>'Data Sheet'!F21/'Data Sheet'!F17</f>
        <v>2.4744174270707305E-2</v>
      </c>
      <c r="I10" s="79">
        <f>'Data Sheet'!G21/'Data Sheet'!G17</f>
        <v>8.1171139878107534E-2</v>
      </c>
      <c r="J10" s="79">
        <f>'Data Sheet'!H21/'Data Sheet'!H17</f>
        <v>9.1714773886009016E-2</v>
      </c>
      <c r="K10" s="79">
        <f>'Data Sheet'!I21/'Data Sheet'!I17</f>
        <v>0.11450204452389728</v>
      </c>
      <c r="L10" s="79">
        <f>'Data Sheet'!J21/'Data Sheet'!J17</f>
        <v>0.11155443464193057</v>
      </c>
      <c r="M10" s="79">
        <f>'Data Sheet'!K21/'Data Sheet'!K17</f>
        <v>0.10683493867172202</v>
      </c>
    </row>
    <row r="11" spans="2:13" ht="11.05" customHeight="1" x14ac:dyDescent="0.4">
      <c r="B11" s="78" t="str">
        <f>'Data Sheet'!A22</f>
        <v>Employee Cost</v>
      </c>
      <c r="D11" s="79">
        <f>'Data Sheet'!B22/'Data Sheet'!$B$17</f>
        <v>0.12130718717886127</v>
      </c>
      <c r="E11" s="79">
        <f>'Data Sheet'!C22/'Data Sheet'!C17</f>
        <v>0.1231571416981953</v>
      </c>
      <c r="F11" s="79">
        <f>'Data Sheet'!D22/'Data Sheet'!D17</f>
        <v>0.1205176549993764</v>
      </c>
      <c r="G11" s="79">
        <f>'Data Sheet'!E22/'Data Sheet'!E17</f>
        <v>0.11119078811280424</v>
      </c>
      <c r="H11" s="79">
        <f>'Data Sheet'!F22/'Data Sheet'!F17</f>
        <v>9.1808803600963731E-2</v>
      </c>
      <c r="I11" s="79">
        <f>'Data Sheet'!G22/'Data Sheet'!G17</f>
        <v>8.3625882711904728E-2</v>
      </c>
      <c r="J11" s="79">
        <f>'Data Sheet'!H22/'Data Sheet'!H17</f>
        <v>8.4343564819397726E-2</v>
      </c>
      <c r="K11" s="79">
        <f>'Data Sheet'!I22/'Data Sheet'!I17</f>
        <v>8.128469813888832E-2</v>
      </c>
      <c r="L11" s="79">
        <f>'Data Sheet'!J22/'Data Sheet'!J17</f>
        <v>8.2770118079554894E-2</v>
      </c>
      <c r="M11" s="79">
        <f>'Data Sheet'!K22/'Data Sheet'!K17</f>
        <v>8.1171282132782394E-2</v>
      </c>
    </row>
    <row r="12" spans="2:13" ht="11.05" customHeight="1" x14ac:dyDescent="0.4">
      <c r="B12" s="78" t="str">
        <f>'Data Sheet'!A23</f>
        <v>Selling and admin</v>
      </c>
      <c r="D12" s="79">
        <f>'Data Sheet'!B23/'Data Sheet'!B$17</f>
        <v>0.13906041401091532</v>
      </c>
      <c r="E12" s="79">
        <f>'Data Sheet'!C23/'Data Sheet'!C$17</f>
        <v>0.13672293883812348</v>
      </c>
      <c r="F12" s="79">
        <f>'Data Sheet'!D23/'Data Sheet'!D$17</f>
        <v>0.12583946532459814</v>
      </c>
      <c r="G12" s="79">
        <f>'Data Sheet'!E23/'Data Sheet'!E$17</f>
        <v>0.13352134041232849</v>
      </c>
      <c r="H12" s="79">
        <f>'Data Sheet'!F23/'Data Sheet'!F$17</f>
        <v>0.13262470661235062</v>
      </c>
      <c r="I12" s="79">
        <f>'Data Sheet'!G23/'Data Sheet'!G$17</f>
        <v>0.12251821448487893</v>
      </c>
      <c r="J12" s="79">
        <f>'Data Sheet'!H23/'Data Sheet'!H$17</f>
        <v>0.13615932563778782</v>
      </c>
      <c r="K12" s="79">
        <f>'Data Sheet'!I23/'Data Sheet'!I$17</f>
        <v>0.12952472437380108</v>
      </c>
      <c r="L12" s="79">
        <f>'Data Sheet'!J23/'Data Sheet'!J$17</f>
        <v>0.12673740698481176</v>
      </c>
      <c r="M12" s="79">
        <f>'Data Sheet'!K23/'Data Sheet'!K$17</f>
        <v>0.12789940005562397</v>
      </c>
    </row>
    <row r="13" spans="2:13" ht="11.05" customHeight="1" x14ac:dyDescent="0.4">
      <c r="B13" s="78" t="str">
        <f>'Data Sheet'!A24</f>
        <v>Other Expenses</v>
      </c>
      <c r="D13" s="79">
        <f>'Data Sheet'!B24/'Data Sheet'!B$17</f>
        <v>9.78687689669617E-2</v>
      </c>
      <c r="E13" s="79">
        <f>'Data Sheet'!C24/'Data Sheet'!C$17</f>
        <v>5.616744474190765E-2</v>
      </c>
      <c r="F13" s="79">
        <f>'Data Sheet'!D24/'Data Sheet'!D$17</f>
        <v>4.6418745919138416E-2</v>
      </c>
      <c r="G13" s="79">
        <f>'Data Sheet'!E24/'Data Sheet'!E$17</f>
        <v>5.3030407501896158E-2</v>
      </c>
      <c r="H13" s="79">
        <f>'Data Sheet'!F24/'Data Sheet'!F$17</f>
        <v>4.4547192090829288E-2</v>
      </c>
      <c r="I13" s="79">
        <f>'Data Sheet'!G24/'Data Sheet'!G$17</f>
        <v>3.5271413709497393E-2</v>
      </c>
      <c r="J13" s="79">
        <f>'Data Sheet'!H24/'Data Sheet'!H$17</f>
        <v>3.3788128643251668E-2</v>
      </c>
      <c r="K13" s="79">
        <f>'Data Sheet'!I24/'Data Sheet'!I$17</f>
        <v>3.3392922958160536E-2</v>
      </c>
      <c r="L13" s="79">
        <f>'Data Sheet'!J24/'Data Sheet'!J$17</f>
        <v>4.211339714649296E-2</v>
      </c>
      <c r="M13" s="79">
        <f>'Data Sheet'!K24/'Data Sheet'!K$17</f>
        <v>4.5000368934573716E-2</v>
      </c>
    </row>
    <row r="14" spans="2:13" ht="11.05" customHeight="1" x14ac:dyDescent="0.4">
      <c r="B14" s="78" t="str">
        <f>'Data Sheet'!A25</f>
        <v>Other Income</v>
      </c>
      <c r="D14" s="79">
        <f>'Data Sheet'!B25/'Data Sheet'!B$17</f>
        <v>5.656562003694696E-3</v>
      </c>
      <c r="E14" s="79">
        <f>'Data Sheet'!C25/'Data Sheet'!C$17</f>
        <v>1.3039213517121343E-2</v>
      </c>
      <c r="F14" s="79">
        <f>'Data Sheet'!D25/'Data Sheet'!D$17</f>
        <v>1.0714049902059321E-2</v>
      </c>
      <c r="G14" s="79">
        <f>'Data Sheet'!E25/'Data Sheet'!E$17</f>
        <v>1.7077845962904226E-2</v>
      </c>
      <c r="H14" s="79">
        <f>'Data Sheet'!F25/'Data Sheet'!F$17</f>
        <v>-1.6933992707591865E-2</v>
      </c>
      <c r="I14" s="79">
        <f>'Data Sheet'!G25/'Data Sheet'!G$17</f>
        <v>7.8201831920793174E-3</v>
      </c>
      <c r="J14" s="79">
        <f>'Data Sheet'!H25/'Data Sheet'!H$17</f>
        <v>7.0822840688043896E-3</v>
      </c>
      <c r="K14" s="79">
        <f>'Data Sheet'!I25/'Data Sheet'!I$17</f>
        <v>2.3821097629280946E-2</v>
      </c>
      <c r="L14" s="79">
        <f>'Data Sheet'!J25/'Data Sheet'!J$17</f>
        <v>-5.3545181624177537E-3</v>
      </c>
      <c r="M14" s="79">
        <f>'Data Sheet'!K25/'Data Sheet'!K$17</f>
        <v>1.0678669338131374E-2</v>
      </c>
    </row>
    <row r="15" spans="2:13" ht="11.05" customHeight="1" x14ac:dyDescent="0.4">
      <c r="B15" s="78" t="str">
        <f>'Data Sheet'!A26</f>
        <v>Depreciation</v>
      </c>
      <c r="D15" s="79">
        <f>'Data Sheet'!B26/'Data Sheet'!B$17</f>
        <v>1.7598025477131157E-2</v>
      </c>
      <c r="E15" s="79">
        <f>'Data Sheet'!C26/'Data Sheet'!C$17</f>
        <v>1.8591204430972556E-2</v>
      </c>
      <c r="F15" s="79">
        <f>'Data Sheet'!D26/'Data Sheet'!D$17</f>
        <v>1.7026271578128784E-2</v>
      </c>
      <c r="G15" s="79">
        <f>'Data Sheet'!E26/'Data Sheet'!E$17</f>
        <v>1.6902709784182582E-2</v>
      </c>
      <c r="H15" s="79">
        <f>'Data Sheet'!F26/'Data Sheet'!F$17</f>
        <v>2.5080363831813911E-2</v>
      </c>
      <c r="I15" s="79">
        <f>'Data Sheet'!G26/'Data Sheet'!G$17</f>
        <v>2.1956502439659267E-2</v>
      </c>
      <c r="J15" s="79">
        <f>'Data Sheet'!H26/'Data Sheet'!H$17</f>
        <v>2.237438402236714E-2</v>
      </c>
      <c r="K15" s="79">
        <f>'Data Sheet'!I26/'Data Sheet'!I$17</f>
        <v>2.2061704282617337E-2</v>
      </c>
      <c r="L15" s="79">
        <f>'Data Sheet'!J26/'Data Sheet'!J$17</f>
        <v>2.4802954126208004E-2</v>
      </c>
      <c r="M15" s="79">
        <f>'Data Sheet'!K26/'Data Sheet'!K$17</f>
        <v>3.4097500893956856E-2</v>
      </c>
    </row>
    <row r="16" spans="2:13" ht="11.05" customHeight="1" x14ac:dyDescent="0.4">
      <c r="B16" s="78" t="str">
        <f>'Data Sheet'!A27</f>
        <v>Interest</v>
      </c>
      <c r="D16" s="79">
        <f>'Data Sheet'!B27/'Data Sheet'!B$17</f>
        <v>1.7614600379113214E-2</v>
      </c>
      <c r="E16" s="79">
        <f>'Data Sheet'!C27/'Data Sheet'!C$17</f>
        <v>1.3500896077173264E-2</v>
      </c>
      <c r="F16" s="79">
        <f>'Data Sheet'!D27/'Data Sheet'!D$17</f>
        <v>6.274072498110881E-3</v>
      </c>
      <c r="G16" s="79">
        <f>'Data Sheet'!E27/'Data Sheet'!E$17</f>
        <v>7.235744328759567E-3</v>
      </c>
      <c r="H16" s="79">
        <f>'Data Sheet'!F27/'Data Sheet'!F$17</f>
        <v>8.0789256875802851E-3</v>
      </c>
      <c r="I16" s="79">
        <f>'Data Sheet'!G27/'Data Sheet'!G$17</f>
        <v>5.9205156339019981E-3</v>
      </c>
      <c r="J16" s="79">
        <f>'Data Sheet'!H27/'Data Sheet'!H$17</f>
        <v>5.8573708469043572E-3</v>
      </c>
      <c r="K16" s="79">
        <f>'Data Sheet'!I27/'Data Sheet'!I$17</f>
        <v>6.3236587255752668E-3</v>
      </c>
      <c r="L16" s="79">
        <f>'Data Sheet'!J27/'Data Sheet'!J$17</f>
        <v>8.536846016500229E-3</v>
      </c>
      <c r="M16" s="79">
        <f>'Data Sheet'!K27/'Data Sheet'!K$17</f>
        <v>1.6471509737034786E-2</v>
      </c>
    </row>
    <row r="17" spans="2:13" ht="11.05" customHeight="1" x14ac:dyDescent="0.4">
      <c r="B17" s="78" t="str">
        <f>'Data Sheet'!A28</f>
        <v>Profit before tax</v>
      </c>
      <c r="D17" s="79">
        <f>'Data Sheet'!B28/'Data Sheet'!B$17</f>
        <v>2.5579594186127107E-2</v>
      </c>
      <c r="E17" s="79">
        <f>'Data Sheet'!C28/'Data Sheet'!C$17</f>
        <v>9.7640698866443942E-2</v>
      </c>
      <c r="F17" s="79">
        <f>'Data Sheet'!D28/'Data Sheet'!D$17</f>
        <v>0.11050496306132479</v>
      </c>
      <c r="G17" s="79">
        <f>'Data Sheet'!E28/'Data Sheet'!E$17</f>
        <v>0.1013183479280149</v>
      </c>
      <c r="H17" s="79">
        <f>'Data Sheet'!F28/'Data Sheet'!F$17</f>
        <v>8.3983057706315589E-2</v>
      </c>
      <c r="I17" s="79">
        <f>'Data Sheet'!G28/'Data Sheet'!G$17</f>
        <v>0.11300263833139544</v>
      </c>
      <c r="J17" s="79">
        <f>'Data Sheet'!H28/'Data Sheet'!H$17</f>
        <v>0.11717880433339208</v>
      </c>
      <c r="K17" s="79">
        <f>'Data Sheet'!I28/'Data Sheet'!I$17</f>
        <v>0.13012690848832922</v>
      </c>
      <c r="L17" s="79">
        <f>'Data Sheet'!J28/'Data Sheet'!J$17</f>
        <v>0.1115176067105752</v>
      </c>
      <c r="M17" s="79">
        <f>'Data Sheet'!K28/'Data Sheet'!K$17</f>
        <v>0.10083549491154084</v>
      </c>
    </row>
    <row r="18" spans="2:13" ht="11.05" customHeight="1" x14ac:dyDescent="0.4">
      <c r="B18" s="78" t="str">
        <f>'Data Sheet'!A29</f>
        <v>Tax</v>
      </c>
      <c r="D18" s="79">
        <f>'Data Sheet'!B29/'Data Sheet'!B$17</f>
        <v>3.013769223119276E-2</v>
      </c>
      <c r="E18" s="79">
        <f>'Data Sheet'!C29/'Data Sheet'!C$17</f>
        <v>2.925120398846531E-2</v>
      </c>
      <c r="F18" s="79">
        <f>'Data Sheet'!D29/'Data Sheet'!D$17</f>
        <v>2.7272260412157849E-2</v>
      </c>
      <c r="G18" s="79">
        <f>'Data Sheet'!E29/'Data Sheet'!E$17</f>
        <v>3.5976004964490105E-2</v>
      </c>
      <c r="H18" s="79">
        <f>'Data Sheet'!F29/'Data Sheet'!F$17</f>
        <v>2.8450560419697388E-2</v>
      </c>
      <c r="I18" s="79">
        <f>'Data Sheet'!G29/'Data Sheet'!G$17</f>
        <v>2.7346076505577039E-2</v>
      </c>
      <c r="J18" s="79">
        <f>'Data Sheet'!H29/'Data Sheet'!H$17</f>
        <v>3.0344368014795536E-2</v>
      </c>
      <c r="K18" s="79">
        <f>'Data Sheet'!I29/'Data Sheet'!I$17</f>
        <v>3.2433781513092792E-2</v>
      </c>
      <c r="L18" s="79">
        <f>'Data Sheet'!J29/'Data Sheet'!J$17</f>
        <v>2.5959088114113977E-2</v>
      </c>
      <c r="M18" s="79">
        <f>'Data Sheet'!K29/'Data Sheet'!K$17</f>
        <v>2.249025161337927E-2</v>
      </c>
    </row>
    <row r="19" spans="2:13" ht="11.05" customHeight="1" x14ac:dyDescent="0.4">
      <c r="B19" s="78" t="str">
        <f>'Data Sheet'!A30</f>
        <v>Net profit</v>
      </c>
      <c r="D19" s="79">
        <f>'Data Sheet'!B30/'Data Sheet'!B$17</f>
        <v>-8.3175871764503784E-4</v>
      </c>
      <c r="E19" s="79">
        <f>'Data Sheet'!C30/'Data Sheet'!C$17</f>
        <v>5.744334063470289E-2</v>
      </c>
      <c r="F19" s="79">
        <f>'Data Sheet'!D30/'Data Sheet'!D$17</f>
        <v>7.2712333189051181E-2</v>
      </c>
      <c r="G19" s="79">
        <f>'Data Sheet'!E30/'Data Sheet'!E$17</f>
        <v>5.6290422671171479E-2</v>
      </c>
      <c r="H19" s="79">
        <f>'Data Sheet'!F30/'Data Sheet'!F$17</f>
        <v>4.7705713769867868E-2</v>
      </c>
      <c r="I19" s="79">
        <f>'Data Sheet'!G30/'Data Sheet'!G$17</f>
        <v>7.3839664265650057E-2</v>
      </c>
      <c r="J19" s="79">
        <f>'Data Sheet'!H30/'Data Sheet'!H$17</f>
        <v>7.5312043021656491E-2</v>
      </c>
      <c r="K19" s="79">
        <f>'Data Sheet'!I30/'Data Sheet'!I$17</f>
        <v>8.7336285728381591E-2</v>
      </c>
      <c r="L19" s="79">
        <f>'Data Sheet'!J30/'Data Sheet'!J$17</f>
        <v>7.5650489778604932E-2</v>
      </c>
      <c r="M19" s="79">
        <f>'Data Sheet'!K30/'Data Sheet'!K$17</f>
        <v>7.2564889915599132E-2</v>
      </c>
    </row>
    <row r="20" spans="2:13" ht="11.05" customHeight="1" x14ac:dyDescent="0.4">
      <c r="B20" s="78" t="str">
        <f>'Data Sheet'!A31</f>
        <v>Dividend Amount</v>
      </c>
      <c r="D20" s="79">
        <f>'Data Sheet'!B31/'Data Sheet'!B$17</f>
        <v>2.139669164956438E-2</v>
      </c>
      <c r="E20" s="79">
        <f>'Data Sheet'!C31/'Data Sheet'!C$17</f>
        <v>2.1876083220862742E-2</v>
      </c>
      <c r="F20" s="79">
        <f>'Data Sheet'!D31/'Data Sheet'!D$17</f>
        <v>2.1761171473218544E-2</v>
      </c>
      <c r="G20" s="79">
        <f>'Data Sheet'!E31/'Data Sheet'!E$17</f>
        <v>2.175825691236296E-2</v>
      </c>
      <c r="H20" s="79">
        <f>'Data Sheet'!F31/'Data Sheet'!F$17</f>
        <v>2.5819150768566692E-2</v>
      </c>
      <c r="I20" s="79">
        <f>'Data Sheet'!G31/'Data Sheet'!G$17</f>
        <v>3.2171094196446655E-2</v>
      </c>
      <c r="J20" s="79">
        <f>'Data Sheet'!H31/'Data Sheet'!H$17</f>
        <v>4.4873512820946176E-2</v>
      </c>
      <c r="K20" s="79">
        <f>'Data Sheet'!I31/'Data Sheet'!I$17</f>
        <v>5.6953557819832315E-2</v>
      </c>
      <c r="L20" s="79">
        <f>'Data Sheet'!J31/'Data Sheet'!J$17</f>
        <v>4.8561573341838825E-2</v>
      </c>
      <c r="M20" s="79">
        <f>'Data Sheet'!K31/'Data Sheet'!K$17</f>
        <v>4.6334776908101241E-2</v>
      </c>
    </row>
    <row r="21" spans="2:13" ht="11.05" customHeight="1" x14ac:dyDescent="0.4">
      <c r="B21" s="20" t="s">
        <v>164</v>
      </c>
      <c r="D21" s="79">
        <f>'Historical Financial'!C18/'Historical Financial'!C$6</f>
        <v>0.19733023533347188</v>
      </c>
      <c r="E21" s="79">
        <f>'Historical Financial'!D18/'Historical Financial'!D$6</f>
        <v>0.25341652469559178</v>
      </c>
      <c r="F21" s="79">
        <f>'Historical Financial'!E18/'Historical Financial'!E$6</f>
        <v>0.24893072256010323</v>
      </c>
      <c r="G21" s="79">
        <f>'Historical Financial'!F18/'Historical Financial'!F$6</f>
        <v>0.24190029649038125</v>
      </c>
      <c r="H21" s="79">
        <f>'Historical Financial'!G18/'Historical Financial'!G$6</f>
        <v>0.26670104654565224</v>
      </c>
      <c r="I21" s="79">
        <f>'Historical Financial'!H18/'Historical Financial'!H$6</f>
        <v>0.25557768769775652</v>
      </c>
      <c r="J21" s="79">
        <f>'Historical Financial'!I18/'Historical Financial'!I$6</f>
        <v>0.27448760077164724</v>
      </c>
      <c r="K21" s="79">
        <f>'Historical Financial'!J18/'Historical Financial'!J$6</f>
        <v>0.2642158982410418</v>
      </c>
      <c r="L21" s="79">
        <f>'Historical Financial'!K18/'Historical Financial'!K$6</f>
        <v>0.27694933200051303</v>
      </c>
      <c r="M21" s="79">
        <f>'Historical Financial'!L18/'Historical Financial'!L$6</f>
        <v>0.26862523626002505</v>
      </c>
    </row>
    <row r="23" spans="2:13" ht="11.05" customHeight="1" x14ac:dyDescent="0.5">
      <c r="B23" s="126" t="str">
        <f>"Comman Size Balance Sheet" &amp; "-" &amp; 'Data Sheet'!B1</f>
        <v>Comman Size Balance Sheet-TATA CONSUMER PRODUCTS LTD</v>
      </c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</row>
    <row r="24" spans="2:13" ht="5.7" customHeight="1" x14ac:dyDescent="0.4"/>
    <row r="25" spans="2:13" ht="11.05" customHeight="1" x14ac:dyDescent="0.4">
      <c r="B25" s="76" t="s">
        <v>163</v>
      </c>
      <c r="C25" s="76"/>
      <c r="D25" s="77">
        <f>'Historical Financial'!C$3</f>
        <v>42460</v>
      </c>
      <c r="E25" s="77">
        <f>'Historical Financial'!D$3</f>
        <v>42825</v>
      </c>
      <c r="F25" s="77">
        <f>'Historical Financial'!E$3</f>
        <v>43190</v>
      </c>
      <c r="G25" s="77">
        <f>'Historical Financial'!F$3</f>
        <v>43555</v>
      </c>
      <c r="H25" s="77">
        <f>'Historical Financial'!G$3</f>
        <v>43921</v>
      </c>
      <c r="I25" s="77">
        <f>'Historical Financial'!H$3</f>
        <v>44286</v>
      </c>
      <c r="J25" s="77">
        <f>'Historical Financial'!I$3</f>
        <v>44651</v>
      </c>
      <c r="K25" s="77">
        <f>'Historical Financial'!J$3</f>
        <v>45016</v>
      </c>
      <c r="L25" s="77">
        <f>'Historical Financial'!K$3</f>
        <v>45382</v>
      </c>
      <c r="M25" s="77">
        <f>'Historical Financial'!L$3</f>
        <v>45747</v>
      </c>
    </row>
    <row r="27" spans="2:13" ht="11.05" customHeight="1" x14ac:dyDescent="0.4">
      <c r="B27" s="80" t="s">
        <v>165</v>
      </c>
      <c r="D27" s="81">
        <f>'Historical Financial'!C$53/'Historical Financial'!C$53</f>
        <v>1</v>
      </c>
      <c r="E27" s="81">
        <f>'Historical Financial'!D$53/'Historical Financial'!D$53</f>
        <v>1</v>
      </c>
      <c r="F27" s="81">
        <f>'Historical Financial'!E$53/'Historical Financial'!E$53</f>
        <v>1</v>
      </c>
      <c r="G27" s="81">
        <f>'Historical Financial'!F$53/'Historical Financial'!F$53</f>
        <v>1</v>
      </c>
      <c r="H27" s="81">
        <f>'Historical Financial'!G$53/'Historical Financial'!G$53</f>
        <v>1</v>
      </c>
      <c r="I27" s="81">
        <f>'Historical Financial'!H$53/'Historical Financial'!H$53</f>
        <v>1</v>
      </c>
      <c r="J27" s="81">
        <f>'Historical Financial'!I$53/'Historical Financial'!I$53</f>
        <v>1</v>
      </c>
      <c r="K27" s="81">
        <f>'Historical Financial'!J$53/'Historical Financial'!J$53</f>
        <v>1</v>
      </c>
      <c r="L27" s="81">
        <f>'Historical Financial'!K$53/'Historical Financial'!K$53</f>
        <v>1</v>
      </c>
      <c r="M27" s="81">
        <f>'Historical Financial'!L$53/'Historical Financial'!L$53</f>
        <v>1</v>
      </c>
    </row>
    <row r="28" spans="2:13" ht="11.05" customHeight="1" x14ac:dyDescent="0.4">
      <c r="B28" s="20" t="str">
        <f>'Historical Financial'!B49</f>
        <v>Equity Share Capital</v>
      </c>
      <c r="D28" s="79">
        <f>'Historical Financial'!C49/'Historical Financial'!C$53</f>
        <v>6.3781233703495586E-3</v>
      </c>
      <c r="E28" s="79">
        <f>'Historical Financial'!D49/'Historical Financial'!D$53</f>
        <v>6.6074014203138598E-3</v>
      </c>
      <c r="F28" s="79">
        <f>'Historical Financial'!E49/'Historical Financial'!E$53</f>
        <v>6.0330224572593197E-3</v>
      </c>
      <c r="G28" s="79">
        <f>'Historical Financial'!F49/'Historical Financial'!F$53</f>
        <v>5.8001889587783115E-3</v>
      </c>
      <c r="H28" s="79">
        <f>'Historical Financial'!G49/'Historical Financial'!G$53</f>
        <v>4.9888919203336319E-3</v>
      </c>
      <c r="I28" s="79">
        <f>'Historical Financial'!H49/'Historical Financial'!H$53</f>
        <v>4.5583549561723268E-3</v>
      </c>
      <c r="J28" s="79">
        <f>'Historical Financial'!I49/'Historical Financial'!I$53</f>
        <v>4.3729807111502943E-3</v>
      </c>
      <c r="K28" s="79">
        <f>'Historical Financial'!J49/'Historical Financial'!J$53</f>
        <v>4.0812758182430832E-3</v>
      </c>
      <c r="L28" s="79">
        <f>'Historical Financial'!K49/'Historical Financial'!K$53</f>
        <v>3.4176519138743107E-3</v>
      </c>
      <c r="M28" s="79">
        <f>'Historical Financial'!L49/'Historical Financial'!L$53</f>
        <v>3.1086419303174117E-3</v>
      </c>
    </row>
    <row r="29" spans="2:13" ht="11.05" customHeight="1" x14ac:dyDescent="0.4">
      <c r="B29" s="20" t="str">
        <f>'Historical Financial'!B50</f>
        <v>Reserves</v>
      </c>
      <c r="D29" s="79">
        <f>'Historical Financial'!C50/'Historical Financial'!C$53</f>
        <v>0.62498332450711291</v>
      </c>
      <c r="E29" s="79">
        <f>'Historical Financial'!D50/'Historical Financial'!D$53</f>
        <v>0.64936904603613499</v>
      </c>
      <c r="F29" s="79">
        <f>'Historical Financial'!E50/'Historical Financial'!E$53</f>
        <v>0.66615523155105361</v>
      </c>
      <c r="G29" s="79">
        <f>'Historical Financial'!F50/'Historical Financial'!F$53</f>
        <v>0.6680262630644408</v>
      </c>
      <c r="H29" s="79">
        <f>'Historical Financial'!G50/'Historical Financial'!G$53</f>
        <v>0.74285012104125792</v>
      </c>
      <c r="I29" s="79">
        <f>'Historical Financial'!H50/'Historical Financial'!H$53</f>
        <v>0.71433764866835303</v>
      </c>
      <c r="J29" s="79">
        <f>'Historical Financial'!I50/'Historical Financial'!I$53</f>
        <v>0.71411021752447357</v>
      </c>
      <c r="K29" s="79">
        <f>'Historical Financial'!J50/'Historical Financial'!J$53</f>
        <v>0.7109859246505984</v>
      </c>
      <c r="L29" s="79">
        <f>'Historical Financial'!K50/'Historical Financial'!K$53</f>
        <v>0.57253238035079712</v>
      </c>
      <c r="M29" s="79">
        <f>'Historical Financial'!L50/'Historical Financial'!L$53</f>
        <v>0.62525109470063733</v>
      </c>
    </row>
    <row r="30" spans="2:13" ht="11.05" customHeight="1" x14ac:dyDescent="0.4">
      <c r="B30" s="20" t="str">
        <f>'Historical Financial'!B51</f>
        <v>Borrowings</v>
      </c>
      <c r="D30" s="79">
        <f>'Historical Financial'!C51/'Historical Financial'!C$53</f>
        <v>0.1368451584475015</v>
      </c>
      <c r="E30" s="79">
        <f>'Historical Financial'!D51/'Historical Financial'!D$53</f>
        <v>8.2350145161813798E-2</v>
      </c>
      <c r="F30" s="79">
        <f>'Historical Financial'!E51/'Historical Financial'!E$53</f>
        <v>0.10205568237871818</v>
      </c>
      <c r="G30" s="79">
        <f>'Historical Financial'!F51/'Historical Financial'!F$53</f>
        <v>0.10487396008337713</v>
      </c>
      <c r="H30" s="79">
        <f>'Historical Financial'!G51/'Historical Financial'!G$53</f>
        <v>8.5872168305812138E-2</v>
      </c>
      <c r="I30" s="79">
        <f>'Historical Financial'!H51/'Historical Financial'!H$53</f>
        <v>8.0797534056589682E-2</v>
      </c>
      <c r="J30" s="79">
        <f>'Historical Financial'!I51/'Historical Financial'!I$53</f>
        <v>6.6999701540270476E-2</v>
      </c>
      <c r="K30" s="79">
        <f>'Historical Financial'!J51/'Historical Financial'!J$53</f>
        <v>7.0292837031449534E-2</v>
      </c>
      <c r="L30" s="79">
        <f>'Historical Financial'!K51/'Historical Financial'!K$53</f>
        <v>0.12472636007516824</v>
      </c>
      <c r="M30" s="79">
        <f>'Historical Financial'!L51/'Historical Financial'!L$53</f>
        <v>7.5169129599109277E-2</v>
      </c>
    </row>
    <row r="31" spans="2:13" ht="11.05" customHeight="1" x14ac:dyDescent="0.4">
      <c r="B31" s="20" t="str">
        <f>'Historical Financial'!B52</f>
        <v>Other Liabilities</v>
      </c>
      <c r="D31" s="79">
        <f>'Historical Financial'!C52/'Historical Financial'!C$53</f>
        <v>0.23179339367503607</v>
      </c>
      <c r="E31" s="79">
        <f>'Historical Financial'!D52/'Historical Financial'!D$53</f>
        <v>0.26167340738173733</v>
      </c>
      <c r="F31" s="79">
        <f>'Historical Financial'!E52/'Historical Financial'!E$53</f>
        <v>0.22575606361296885</v>
      </c>
      <c r="G31" s="79">
        <f>'Historical Financial'!F52/'Historical Financial'!F$53</f>
        <v>0.2212995878934037</v>
      </c>
      <c r="H31" s="79">
        <f>'Historical Financial'!G52/'Historical Financial'!G$53</f>
        <v>0.16628881873259627</v>
      </c>
      <c r="I31" s="79">
        <f>'Historical Financial'!H52/'Historical Financial'!H$53</f>
        <v>0.20030646231888505</v>
      </c>
      <c r="J31" s="79">
        <f>'Historical Financial'!I52/'Historical Financial'!I$53</f>
        <v>0.21451710022410578</v>
      </c>
      <c r="K31" s="79">
        <f>'Historical Financial'!J52/'Historical Financial'!J$53</f>
        <v>0.21463996249970893</v>
      </c>
      <c r="L31" s="79">
        <f>'Historical Financial'!K52/'Historical Financial'!K$53</f>
        <v>0.29932360766016031</v>
      </c>
      <c r="M31" s="79">
        <f>'Historical Financial'!L52/'Historical Financial'!L$53</f>
        <v>0.296471133769936</v>
      </c>
    </row>
    <row r="33" spans="2:13" ht="11.05" customHeight="1" x14ac:dyDescent="0.4">
      <c r="B33" s="80" t="s">
        <v>166</v>
      </c>
      <c r="D33" s="81">
        <f>'Historical Financial'!C$66/'Historical Financial'!C$66</f>
        <v>1</v>
      </c>
      <c r="E33" s="81">
        <f>'Historical Financial'!D$66/'Historical Financial'!D$66</f>
        <v>1</v>
      </c>
      <c r="F33" s="81">
        <f>'Historical Financial'!E$66/'Historical Financial'!E$66</f>
        <v>1</v>
      </c>
      <c r="G33" s="81">
        <f>'Historical Financial'!F$66/'Historical Financial'!F$66</f>
        <v>1</v>
      </c>
      <c r="H33" s="81">
        <f>'Historical Financial'!G$66/'Historical Financial'!G$66</f>
        <v>1</v>
      </c>
      <c r="I33" s="81">
        <f>'Historical Financial'!H$66/'Historical Financial'!H$66</f>
        <v>1</v>
      </c>
      <c r="J33" s="81">
        <f>'Historical Financial'!I$66/'Historical Financial'!I$66</f>
        <v>1</v>
      </c>
      <c r="K33" s="81">
        <f>'Historical Financial'!J$66/'Historical Financial'!J$66</f>
        <v>1</v>
      </c>
      <c r="L33" s="81">
        <f>'Historical Financial'!K$66/'Historical Financial'!K$66</f>
        <v>1</v>
      </c>
      <c r="M33" s="81">
        <f>'Historical Financial'!L$66/'Historical Financial'!L$66</f>
        <v>1</v>
      </c>
    </row>
    <row r="34" spans="2:13" ht="11.05" customHeight="1" x14ac:dyDescent="0.4">
      <c r="B34" s="20" t="str">
        <f>'Historical Financial'!B55</f>
        <v>Net Block</v>
      </c>
      <c r="D34" s="79">
        <f>'Historical Financial'!C55/'Historical Financial'!C$66</f>
        <v>0.47113825903811724</v>
      </c>
      <c r="E34" s="79">
        <f>'Historical Financial'!D55/'Historical Financial'!D$66</f>
        <v>0.47873455332772857</v>
      </c>
      <c r="F34" s="79">
        <f>'Historical Financial'!E55/'Historical Financial'!E$66</f>
        <v>0.45868369028636546</v>
      </c>
      <c r="G34" s="79">
        <f>'Historical Financial'!F55/'Historical Financial'!F$66</f>
        <v>0.45156276997393546</v>
      </c>
      <c r="H34" s="79">
        <f>'Historical Financial'!G55/'Historical Financial'!G$66</f>
        <v>0.63097573545014796</v>
      </c>
      <c r="I34" s="79">
        <f>'Historical Financial'!H55/'Historical Financial'!H$66</f>
        <v>0.59467984184249334</v>
      </c>
      <c r="J34" s="79">
        <f>'Historical Financial'!I55/'Historical Financial'!I$66</f>
        <v>0.59783761418219905</v>
      </c>
      <c r="K34" s="79">
        <f>'Historical Financial'!J55/'Historical Financial'!J$66</f>
        <v>0.57419201502120387</v>
      </c>
      <c r="L34" s="79">
        <f>'Historical Financial'!K55/'Historical Financial'!K$66</f>
        <v>0.69435940369004545</v>
      </c>
      <c r="M34" s="79">
        <f>'Historical Financial'!L55/'Historical Financial'!L$66</f>
        <v>0.67472264128062864</v>
      </c>
    </row>
    <row r="35" spans="2:13" ht="11.05" customHeight="1" x14ac:dyDescent="0.4">
      <c r="B35" s="20" t="str">
        <f>'Historical Financial'!B56</f>
        <v>Capital Work in Progress</v>
      </c>
      <c r="D35" s="79">
        <f>'Historical Financial'!C56/'Historical Financial'!C$66</f>
        <v>3.9839268461286589E-3</v>
      </c>
      <c r="E35" s="79">
        <f>'Historical Financial'!D56/'Historical Financial'!D$66</f>
        <v>6.6157771470390231E-3</v>
      </c>
      <c r="F35" s="79">
        <f>'Historical Financial'!E56/'Historical Financial'!E$66</f>
        <v>1.2920667332010293E-2</v>
      </c>
      <c r="G35" s="79">
        <f>'Historical Financial'!F56/'Historical Financial'!F$66</f>
        <v>3.9005834194186392E-2</v>
      </c>
      <c r="H35" s="79">
        <f>'Historical Financial'!G56/'Historical Financial'!G$66</f>
        <v>5.1615760048156663E-3</v>
      </c>
      <c r="I35" s="79">
        <f>'Historical Financial'!H56/'Historical Financial'!H$66</f>
        <v>5.5817096007383582E-3</v>
      </c>
      <c r="J35" s="79">
        <f>'Historical Financial'!I56/'Historical Financial'!I$66</f>
        <v>1.1718696248185636E-2</v>
      </c>
      <c r="K35" s="79">
        <f>'Historical Financial'!J56/'Historical Financial'!J$66</f>
        <v>1.2955524637243114E-2</v>
      </c>
      <c r="L35" s="79">
        <f>'Historical Financial'!K56/'Historical Financial'!K$66</f>
        <v>6.8008690477599646E-3</v>
      </c>
      <c r="M35" s="79">
        <f>'Historical Financial'!L56/'Historical Financial'!L$66</f>
        <v>6.8518929257425721E-3</v>
      </c>
    </row>
    <row r="36" spans="2:13" ht="11.05" customHeight="1" x14ac:dyDescent="0.4">
      <c r="B36" s="20" t="str">
        <f>'Historical Financial'!B57</f>
        <v>Investments</v>
      </c>
      <c r="D36" s="79">
        <f>'Historical Financial'!C57/'Historical Financial'!C$66</f>
        <v>0.13804680457130847</v>
      </c>
      <c r="E36" s="79">
        <f>'Historical Financial'!D57/'Historical Financial'!D$66</f>
        <v>0.15191893134102713</v>
      </c>
      <c r="F36" s="79">
        <f>'Historical Financial'!E57/'Historical Financial'!E$66</f>
        <v>0.11101774632053502</v>
      </c>
      <c r="G36" s="79">
        <f>'Historical Financial'!F57/'Historical Financial'!F$66</f>
        <v>0.10915310440156314</v>
      </c>
      <c r="H36" s="79">
        <f>'Historical Financial'!G57/'Historical Financial'!G$66</f>
        <v>7.160976211820036E-2</v>
      </c>
      <c r="I36" s="79">
        <f>'Historical Financial'!H57/'Historical Financial'!H$66</f>
        <v>3.98603805949405E-2</v>
      </c>
      <c r="J36" s="79">
        <f>'Historical Financial'!I57/'Historical Financial'!I$66</f>
        <v>3.783083833969083E-2</v>
      </c>
      <c r="K36" s="79">
        <f>'Historical Financial'!J57/'Historical Financial'!J$66</f>
        <v>6.2953130347338987E-2</v>
      </c>
      <c r="L36" s="79">
        <f>'Historical Financial'!K57/'Historical Financial'!K$66</f>
        <v>3.1226247624089855E-2</v>
      </c>
      <c r="M36" s="79">
        <f>'Historical Financial'!L57/'Historical Financial'!L$66</f>
        <v>3.0432017975144689E-2</v>
      </c>
    </row>
    <row r="37" spans="2:13" ht="11.05" customHeight="1" x14ac:dyDescent="0.4">
      <c r="B37" s="20" t="str">
        <f>'Historical Financial'!B58</f>
        <v>Other Assets</v>
      </c>
      <c r="D37" s="79">
        <f>'Historical Financial'!C58/'Historical Financial'!C$66</f>
        <v>0.11168840881436233</v>
      </c>
      <c r="E37" s="79">
        <f>'Historical Financial'!D58/'Historical Financial'!D$66</f>
        <v>8.8401607720744915E-2</v>
      </c>
      <c r="F37" s="79">
        <f>'Historical Financial'!E58/'Historical Financial'!E$66</f>
        <v>9.8593218848343683E-2</v>
      </c>
      <c r="G37" s="79">
        <f>'Historical Financial'!F58/'Historical Financial'!F$66</f>
        <v>9.4902156850490998E-2</v>
      </c>
      <c r="H37" s="79">
        <f>'Historical Financial'!G58/'Historical Financial'!G$66</f>
        <v>6.186853923339096E-2</v>
      </c>
      <c r="I37" s="79">
        <f>'Historical Financial'!H58/'Historical Financial'!H$66</f>
        <v>5.8888149167417615E-2</v>
      </c>
      <c r="J37" s="79">
        <f>'Historical Financial'!I58/'Historical Financial'!I$66</f>
        <v>8.2075002123382035E-2</v>
      </c>
      <c r="K37" s="79">
        <f>'Historical Financial'!J58/'Historical Financial'!J$66</f>
        <v>7.3262635151075284E-2</v>
      </c>
      <c r="L37" s="79">
        <f>'Historical Financial'!K58/'Historical Financial'!K$66</f>
        <v>4.8070594168541737E-2</v>
      </c>
      <c r="M37" s="79">
        <f>'Historical Financial'!L58/'Historical Financial'!L$66</f>
        <v>5.9045346901819729E-2</v>
      </c>
    </row>
    <row r="38" spans="2:13" ht="11.05" customHeight="1" x14ac:dyDescent="0.4">
      <c r="B38" s="20" t="str">
        <f>'Historical Financial'!B61</f>
        <v>Receivables</v>
      </c>
      <c r="D38" s="79">
        <f>'Historical Financial'!C61/'Historical Financial'!C$66</f>
        <v>5.9873104552308501E-2</v>
      </c>
      <c r="E38" s="79">
        <f>'Historical Financial'!D61/'Historical Financial'!D$66</f>
        <v>6.2027491229043677E-2</v>
      </c>
      <c r="F38" s="79">
        <f>'Historical Financial'!E61/'Historical Financial'!E$66</f>
        <v>6.1972552663477599E-2</v>
      </c>
      <c r="G38" s="79">
        <f>'Historical Financial'!F61/'Historical Financial'!F$66</f>
        <v>6.2546642305444142E-2</v>
      </c>
      <c r="H38" s="79">
        <f>'Historical Financial'!G61/'Historical Financial'!G$66</f>
        <v>4.9932766886229878E-2</v>
      </c>
      <c r="I38" s="79">
        <f>'Historical Financial'!H61/'Historical Financial'!H$66</f>
        <v>3.7655889705220449E-2</v>
      </c>
      <c r="J38" s="79">
        <f>'Historical Financial'!I61/'Historical Financial'!I$66</f>
        <v>3.9627765200924134E-2</v>
      </c>
      <c r="K38" s="79">
        <f>'Historical Financial'!J61/'Historical Financial'!J$66</f>
        <v>3.5072173562734135E-2</v>
      </c>
      <c r="L38" s="79">
        <f>'Historical Financial'!K61/'Historical Financial'!K$66</f>
        <v>3.2166030161280314E-2</v>
      </c>
      <c r="M38" s="79">
        <f>'Historical Financial'!L61/'Historical Financial'!L$66</f>
        <v>2.7325575185151909E-2</v>
      </c>
    </row>
    <row r="39" spans="2:13" ht="11.05" customHeight="1" x14ac:dyDescent="0.4">
      <c r="B39" s="20" t="str">
        <f>'Historical Financial'!B62</f>
        <v>Inventory</v>
      </c>
      <c r="D39" s="79">
        <f>'Historical Financial'!C62/'Historical Financial'!C$66</f>
        <v>0.16463360404901184</v>
      </c>
      <c r="E39" s="79">
        <f>'Historical Financial'!D62/'Historical Financial'!D$66</f>
        <v>0.15211994878243107</v>
      </c>
      <c r="F39" s="79">
        <f>'Historical Financial'!E62/'Historical Financial'!E$66</f>
        <v>0.1384516994941094</v>
      </c>
      <c r="G39" s="79">
        <f>'Historical Financial'!F62/'Historical Financial'!F$66</f>
        <v>0.14783451034310355</v>
      </c>
      <c r="H39" s="79">
        <f>'Historical Financial'!G62/'Historical Financial'!G$66</f>
        <v>9.2677220425008547E-2</v>
      </c>
      <c r="I39" s="79">
        <f>'Historical Financial'!H62/'Historical Financial'!H$66</f>
        <v>0.11124641529106501</v>
      </c>
      <c r="J39" s="79">
        <f>'Historical Financial'!I62/'Historical Financial'!I$66</f>
        <v>0.10754562187097716</v>
      </c>
      <c r="K39" s="79">
        <f>'Historical Financial'!J62/'Historical Financial'!J$66</f>
        <v>0.1186895634001377</v>
      </c>
      <c r="L39" s="79">
        <f>'Historical Financial'!K62/'Historical Financial'!K$66</f>
        <v>9.9335372876656419E-2</v>
      </c>
      <c r="M39" s="79">
        <f>'Historical Financial'!L62/'Historical Financial'!L$66</f>
        <v>0.11309581780059579</v>
      </c>
    </row>
    <row r="40" spans="2:13" ht="11.05" customHeight="1" x14ac:dyDescent="0.4">
      <c r="B40" s="20" t="str">
        <f>'Historical Financial'!B63</f>
        <v>Cash &amp; Bank</v>
      </c>
      <c r="D40" s="79">
        <f>'Historical Financial'!C63/'Historical Financial'!C$66</f>
        <v>5.0635892128763106E-2</v>
      </c>
      <c r="E40" s="79">
        <f>'Historical Financial'!D63/'Historical Financial'!D$66</f>
        <v>6.0181690451985632E-2</v>
      </c>
      <c r="F40" s="79">
        <f>'Historical Financial'!E63/'Historical Financial'!E$66</f>
        <v>0.11836042505515852</v>
      </c>
      <c r="G40" s="79">
        <f>'Historical Financial'!F63/'Historical Financial'!F$66</f>
        <v>9.499498193127634E-2</v>
      </c>
      <c r="H40" s="79">
        <f>'Historical Financial'!G63/'Historical Financial'!G$66</f>
        <v>8.7774399882206713E-2</v>
      </c>
      <c r="I40" s="79">
        <f>'Historical Financial'!H63/'Historical Financial'!H$66</f>
        <v>0.15208761379812463</v>
      </c>
      <c r="J40" s="79">
        <f>'Historical Financial'!I63/'Historical Financial'!I$66</f>
        <v>0.12336446203464126</v>
      </c>
      <c r="K40" s="79">
        <f>'Historical Financial'!J63/'Historical Financial'!J$66</f>
        <v>0.12287495788026706</v>
      </c>
      <c r="L40" s="79">
        <f>'Historical Financial'!K63/'Historical Financial'!K$66</f>
        <v>8.8041482431626336E-2</v>
      </c>
      <c r="M40" s="79">
        <f>'Historical Financial'!L63/'Historical Financial'!L$66</f>
        <v>8.8526707930916854E-2</v>
      </c>
    </row>
  </sheetData>
  <mergeCells count="2">
    <mergeCell ref="B2:M2"/>
    <mergeCell ref="B23:M23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75494-B226-45C3-BB00-43FD30D2682D}">
  <sheetPr codeName="Sheet6">
    <tabColor rgb="FFC00000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O24" sqref="O24"/>
      <selection pane="topRight" activeCell="O24" sqref="O24"/>
      <selection pane="bottomLeft" activeCell="O24" sqref="O24"/>
      <selection pane="bottomRight" activeCell="B24" sqref="B24"/>
    </sheetView>
  </sheetViews>
  <sheetFormatPr defaultColWidth="8" defaultRowHeight="13.8" x14ac:dyDescent="0.45"/>
  <cols>
    <col min="1" max="1" width="25.046875" style="1" bestFit="1" customWidth="1"/>
    <col min="2" max="11" width="12.1875" style="1" bestFit="1" customWidth="1"/>
    <col min="12" max="16384" width="8" style="1"/>
  </cols>
  <sheetData>
    <row r="1" spans="1:11" s="3" customFormat="1" ht="14.4" x14ac:dyDescent="0.55000000000000004">
      <c r="A1" s="3" t="s">
        <v>53</v>
      </c>
      <c r="B1" s="3" t="s">
        <v>52</v>
      </c>
      <c r="E1" s="127" t="str">
        <f>IF(B2&lt;&gt;B3, "A NEW VERSION OF THE WORKSHEET IS AVAILABLE", "")</f>
        <v/>
      </c>
      <c r="F1" s="127"/>
      <c r="G1" s="127"/>
      <c r="H1" s="127"/>
      <c r="I1" s="127"/>
      <c r="J1" s="127"/>
      <c r="K1" s="127"/>
    </row>
    <row r="2" spans="1:11" ht="14.4" x14ac:dyDescent="0.55000000000000004">
      <c r="A2" s="3" t="s">
        <v>51</v>
      </c>
      <c r="B2" s="1">
        <v>2.1</v>
      </c>
      <c r="E2" s="128" t="s">
        <v>50</v>
      </c>
      <c r="F2" s="128"/>
      <c r="G2" s="128"/>
      <c r="H2" s="128"/>
      <c r="I2" s="128"/>
      <c r="J2" s="128"/>
      <c r="K2" s="128"/>
    </row>
    <row r="3" spans="1:11" ht="14.4" x14ac:dyDescent="0.55000000000000004">
      <c r="A3" s="3" t="s">
        <v>49</v>
      </c>
      <c r="B3" s="1">
        <v>2.1</v>
      </c>
    </row>
    <row r="4" spans="1:11" ht="14.4" x14ac:dyDescent="0.55000000000000004">
      <c r="A4" s="3"/>
    </row>
    <row r="5" spans="1:11" ht="14.4" x14ac:dyDescent="0.55000000000000004">
      <c r="A5" s="3" t="s">
        <v>48</v>
      </c>
    </row>
    <row r="6" spans="1:11" x14ac:dyDescent="0.45">
      <c r="A6" s="1" t="s">
        <v>47</v>
      </c>
      <c r="B6" s="1">
        <f>IF(B9&gt;0, B9/B8, 0)</f>
        <v>98.946938775510205</v>
      </c>
    </row>
    <row r="7" spans="1:11" ht="14.4" x14ac:dyDescent="0.55000000000000004">
      <c r="A7" s="1" t="s">
        <v>46</v>
      </c>
      <c r="B7" s="4">
        <v>1</v>
      </c>
    </row>
    <row r="8" spans="1:11" ht="14.4" x14ac:dyDescent="0.55000000000000004">
      <c r="A8" s="1" t="s">
        <v>45</v>
      </c>
      <c r="B8" s="4">
        <v>1102.5</v>
      </c>
    </row>
    <row r="9" spans="1:11" ht="14.4" x14ac:dyDescent="0.55000000000000004">
      <c r="A9" s="1" t="s">
        <v>44</v>
      </c>
      <c r="B9" s="4">
        <v>109089</v>
      </c>
    </row>
    <row r="15" spans="1:11" ht="14.4" x14ac:dyDescent="0.55000000000000004">
      <c r="A15" s="3" t="s">
        <v>43</v>
      </c>
    </row>
    <row r="16" spans="1:11" s="6" customFormat="1" ht="14.4" x14ac:dyDescent="0.55000000000000004">
      <c r="A16" s="8" t="s">
        <v>7</v>
      </c>
      <c r="B16" s="7">
        <v>42460</v>
      </c>
      <c r="C16" s="7">
        <v>42825</v>
      </c>
      <c r="D16" s="7">
        <v>43190</v>
      </c>
      <c r="E16" s="7">
        <v>43555</v>
      </c>
      <c r="F16" s="7">
        <v>43921</v>
      </c>
      <c r="G16" s="7">
        <v>44286</v>
      </c>
      <c r="H16" s="7">
        <v>44651</v>
      </c>
      <c r="I16" s="7">
        <v>45016</v>
      </c>
      <c r="J16" s="7">
        <v>45382</v>
      </c>
      <c r="K16" s="7">
        <v>45747</v>
      </c>
    </row>
    <row r="17" spans="1:11" s="5" customFormat="1" ht="14.4" x14ac:dyDescent="0.55000000000000004">
      <c r="A17" s="5" t="s">
        <v>33</v>
      </c>
      <c r="B17" s="4">
        <v>6636.54</v>
      </c>
      <c r="C17" s="4">
        <v>6779.55</v>
      </c>
      <c r="D17" s="4">
        <v>6815.35</v>
      </c>
      <c r="E17" s="4">
        <v>7251.5</v>
      </c>
      <c r="F17" s="4">
        <v>9637.42</v>
      </c>
      <c r="G17" s="4">
        <v>11602.03</v>
      </c>
      <c r="H17" s="4">
        <v>12425.37</v>
      </c>
      <c r="I17" s="4">
        <v>13783.16</v>
      </c>
      <c r="J17" s="4">
        <v>15205.85</v>
      </c>
      <c r="K17" s="4">
        <v>17618.3</v>
      </c>
    </row>
    <row r="18" spans="1:11" s="5" customFormat="1" ht="14.4" x14ac:dyDescent="0.55000000000000004">
      <c r="A18" s="1" t="s">
        <v>42</v>
      </c>
      <c r="B18" s="4">
        <v>3601.49</v>
      </c>
      <c r="C18" s="4">
        <v>3165.65</v>
      </c>
      <c r="D18" s="4">
        <v>3746.11</v>
      </c>
      <c r="E18" s="4">
        <v>4022.05</v>
      </c>
      <c r="F18" s="4">
        <v>5402.9</v>
      </c>
      <c r="G18" s="4">
        <v>6367.79</v>
      </c>
      <c r="H18" s="4">
        <v>6323.22</v>
      </c>
      <c r="I18" s="4">
        <v>7107.06</v>
      </c>
      <c r="J18" s="4">
        <v>7364.06</v>
      </c>
      <c r="K18" s="4">
        <v>8986.68</v>
      </c>
    </row>
    <row r="19" spans="1:11" s="5" customFormat="1" ht="14.4" x14ac:dyDescent="0.55000000000000004">
      <c r="A19" s="1" t="s">
        <v>41</v>
      </c>
      <c r="B19" s="4">
        <v>-20.11</v>
      </c>
      <c r="C19" s="4">
        <v>0.69</v>
      </c>
      <c r="D19" s="4">
        <v>46.8</v>
      </c>
      <c r="E19" s="4">
        <v>14.41</v>
      </c>
      <c r="F19" s="4">
        <v>-7.78</v>
      </c>
      <c r="G19" s="4">
        <v>149.54</v>
      </c>
      <c r="H19" s="4">
        <v>39.78</v>
      </c>
      <c r="I19" s="4">
        <v>273.88</v>
      </c>
      <c r="J19" s="4">
        <v>121.6</v>
      </c>
      <c r="K19" s="4">
        <v>362.49</v>
      </c>
    </row>
    <row r="20" spans="1:11" s="5" customFormat="1" ht="14.4" x14ac:dyDescent="0.55000000000000004">
      <c r="A20" s="1" t="s">
        <v>40</v>
      </c>
      <c r="B20" s="4">
        <v>81.260000000000005</v>
      </c>
      <c r="C20" s="4">
        <v>83.19</v>
      </c>
      <c r="D20" s="4">
        <v>87.07</v>
      </c>
      <c r="E20" s="4">
        <v>89.28</v>
      </c>
      <c r="F20" s="4">
        <v>103.84</v>
      </c>
      <c r="G20" s="4">
        <v>97.36</v>
      </c>
      <c r="H20" s="4">
        <v>123.9</v>
      </c>
      <c r="I20" s="4">
        <v>149.43</v>
      </c>
      <c r="J20" s="4">
        <v>156.9</v>
      </c>
      <c r="K20" s="4">
        <v>156.21</v>
      </c>
    </row>
    <row r="21" spans="1:11" s="5" customFormat="1" ht="14.4" x14ac:dyDescent="0.55000000000000004">
      <c r="A21" s="1" t="s">
        <v>39</v>
      </c>
      <c r="B21" s="4">
        <v>190.32</v>
      </c>
      <c r="C21" s="4">
        <v>597.61</v>
      </c>
      <c r="D21" s="4">
        <v>194.69</v>
      </c>
      <c r="E21" s="4">
        <v>209.59</v>
      </c>
      <c r="F21" s="4">
        <v>238.47</v>
      </c>
      <c r="G21" s="4">
        <v>941.75</v>
      </c>
      <c r="H21" s="4">
        <v>1139.5899999999999</v>
      </c>
      <c r="I21" s="4">
        <v>1578.2</v>
      </c>
      <c r="J21" s="4">
        <v>1696.28</v>
      </c>
      <c r="K21" s="4">
        <v>1882.25</v>
      </c>
    </row>
    <row r="22" spans="1:11" s="5" customFormat="1" ht="14.4" x14ac:dyDescent="0.55000000000000004">
      <c r="A22" s="1" t="s">
        <v>38</v>
      </c>
      <c r="B22" s="4">
        <v>805.06</v>
      </c>
      <c r="C22" s="4">
        <v>834.95</v>
      </c>
      <c r="D22" s="4">
        <v>821.37</v>
      </c>
      <c r="E22" s="4">
        <v>806.3</v>
      </c>
      <c r="F22" s="4">
        <v>884.8</v>
      </c>
      <c r="G22" s="4">
        <v>970.23</v>
      </c>
      <c r="H22" s="4">
        <v>1048</v>
      </c>
      <c r="I22" s="4">
        <v>1120.3599999999999</v>
      </c>
      <c r="J22" s="4">
        <v>1258.5899999999999</v>
      </c>
      <c r="K22" s="4">
        <v>1430.1</v>
      </c>
    </row>
    <row r="23" spans="1:11" s="5" customFormat="1" ht="14.4" x14ac:dyDescent="0.55000000000000004">
      <c r="A23" s="1" t="s">
        <v>37</v>
      </c>
      <c r="B23" s="4">
        <v>922.88</v>
      </c>
      <c r="C23" s="4">
        <v>926.92</v>
      </c>
      <c r="D23" s="4">
        <v>857.64</v>
      </c>
      <c r="E23" s="4">
        <v>968.23</v>
      </c>
      <c r="F23" s="4">
        <v>1278.1600000000001</v>
      </c>
      <c r="G23" s="4">
        <v>1421.46</v>
      </c>
      <c r="H23" s="4">
        <v>1691.83</v>
      </c>
      <c r="I23" s="4">
        <v>1785.26</v>
      </c>
      <c r="J23" s="4">
        <v>1927.15</v>
      </c>
      <c r="K23" s="4">
        <v>2253.37</v>
      </c>
    </row>
    <row r="24" spans="1:11" s="5" customFormat="1" ht="14.4" x14ac:dyDescent="0.55000000000000004">
      <c r="A24" s="1" t="s">
        <v>36</v>
      </c>
      <c r="B24" s="4">
        <v>649.51</v>
      </c>
      <c r="C24" s="4">
        <v>380.79</v>
      </c>
      <c r="D24" s="4">
        <v>316.36</v>
      </c>
      <c r="E24" s="4">
        <v>384.55</v>
      </c>
      <c r="F24" s="4">
        <v>429.32</v>
      </c>
      <c r="G24" s="4">
        <v>409.22</v>
      </c>
      <c r="H24" s="4">
        <v>419.83</v>
      </c>
      <c r="I24" s="4">
        <v>460.26</v>
      </c>
      <c r="J24" s="4">
        <v>640.37</v>
      </c>
      <c r="K24" s="4">
        <v>792.83</v>
      </c>
    </row>
    <row r="25" spans="1:11" s="5" customFormat="1" ht="14.4" x14ac:dyDescent="0.55000000000000004">
      <c r="A25" s="5" t="s">
        <v>31</v>
      </c>
      <c r="B25" s="4">
        <v>37.54</v>
      </c>
      <c r="C25" s="4">
        <v>88.4</v>
      </c>
      <c r="D25" s="4">
        <v>73.02</v>
      </c>
      <c r="E25" s="4">
        <v>123.84</v>
      </c>
      <c r="F25" s="4">
        <v>-163.19999999999999</v>
      </c>
      <c r="G25" s="4">
        <v>90.73</v>
      </c>
      <c r="H25" s="4">
        <v>88</v>
      </c>
      <c r="I25" s="4">
        <v>328.33</v>
      </c>
      <c r="J25" s="4">
        <v>-81.42</v>
      </c>
      <c r="K25" s="4">
        <v>188.14</v>
      </c>
    </row>
    <row r="26" spans="1:11" s="5" customFormat="1" ht="14.4" x14ac:dyDescent="0.55000000000000004">
      <c r="A26" s="5" t="s">
        <v>30</v>
      </c>
      <c r="B26" s="4">
        <v>116.79</v>
      </c>
      <c r="C26" s="4">
        <v>126.04</v>
      </c>
      <c r="D26" s="4">
        <v>116.04</v>
      </c>
      <c r="E26" s="4">
        <v>122.57</v>
      </c>
      <c r="F26" s="4">
        <v>241.71</v>
      </c>
      <c r="G26" s="4">
        <v>254.74</v>
      </c>
      <c r="H26" s="4">
        <v>278.01</v>
      </c>
      <c r="I26" s="4">
        <v>304.08</v>
      </c>
      <c r="J26" s="4">
        <v>377.15</v>
      </c>
      <c r="K26" s="4">
        <v>600.74</v>
      </c>
    </row>
    <row r="27" spans="1:11" s="5" customFormat="1" ht="14.4" x14ac:dyDescent="0.55000000000000004">
      <c r="A27" s="5" t="s">
        <v>29</v>
      </c>
      <c r="B27" s="4">
        <v>116.9</v>
      </c>
      <c r="C27" s="4">
        <v>91.53</v>
      </c>
      <c r="D27" s="4">
        <v>42.76</v>
      </c>
      <c r="E27" s="4">
        <v>52.47</v>
      </c>
      <c r="F27" s="4">
        <v>77.86</v>
      </c>
      <c r="G27" s="4">
        <v>68.69</v>
      </c>
      <c r="H27" s="4">
        <v>72.78</v>
      </c>
      <c r="I27" s="4">
        <v>87.16</v>
      </c>
      <c r="J27" s="4">
        <v>129.81</v>
      </c>
      <c r="K27" s="4">
        <v>290.2</v>
      </c>
    </row>
    <row r="28" spans="1:11" s="5" customFormat="1" ht="14.4" x14ac:dyDescent="0.55000000000000004">
      <c r="A28" s="5" t="s">
        <v>28</v>
      </c>
      <c r="B28" s="4">
        <v>169.76</v>
      </c>
      <c r="C28" s="4">
        <v>661.96</v>
      </c>
      <c r="D28" s="4">
        <v>753.13</v>
      </c>
      <c r="E28" s="4">
        <v>734.71</v>
      </c>
      <c r="F28" s="4">
        <v>809.38</v>
      </c>
      <c r="G28" s="4">
        <v>1311.06</v>
      </c>
      <c r="H28" s="4">
        <v>1455.99</v>
      </c>
      <c r="I28" s="4">
        <v>1793.56</v>
      </c>
      <c r="J28" s="4">
        <v>1695.72</v>
      </c>
      <c r="K28" s="4">
        <v>1776.55</v>
      </c>
    </row>
    <row r="29" spans="1:11" s="5" customFormat="1" ht="14.4" x14ac:dyDescent="0.55000000000000004">
      <c r="A29" s="5" t="s">
        <v>27</v>
      </c>
      <c r="B29" s="4">
        <v>200.01</v>
      </c>
      <c r="C29" s="4">
        <v>198.31</v>
      </c>
      <c r="D29" s="4">
        <v>185.87</v>
      </c>
      <c r="E29" s="4">
        <v>260.88</v>
      </c>
      <c r="F29" s="4">
        <v>274.19</v>
      </c>
      <c r="G29" s="4">
        <v>317.27</v>
      </c>
      <c r="H29" s="4">
        <v>377.04</v>
      </c>
      <c r="I29" s="4">
        <v>447.04</v>
      </c>
      <c r="J29" s="4">
        <v>394.73</v>
      </c>
      <c r="K29" s="4">
        <v>396.24</v>
      </c>
    </row>
    <row r="30" spans="1:11" s="5" customFormat="1" ht="14.4" x14ac:dyDescent="0.55000000000000004">
      <c r="A30" s="5" t="s">
        <v>26</v>
      </c>
      <c r="B30" s="4">
        <v>-5.52</v>
      </c>
      <c r="C30" s="4">
        <v>389.44</v>
      </c>
      <c r="D30" s="4">
        <v>495.56</v>
      </c>
      <c r="E30" s="4">
        <v>408.19</v>
      </c>
      <c r="F30" s="4">
        <v>459.76</v>
      </c>
      <c r="G30" s="4">
        <v>856.69</v>
      </c>
      <c r="H30" s="4">
        <v>935.78</v>
      </c>
      <c r="I30" s="4">
        <v>1203.77</v>
      </c>
      <c r="J30" s="4">
        <v>1150.33</v>
      </c>
      <c r="K30" s="4">
        <v>1278.47</v>
      </c>
    </row>
    <row r="31" spans="1:11" s="5" customFormat="1" ht="14.4" x14ac:dyDescent="0.55000000000000004">
      <c r="A31" s="5" t="s">
        <v>35</v>
      </c>
      <c r="B31" s="4">
        <v>142</v>
      </c>
      <c r="C31" s="4">
        <v>148.31</v>
      </c>
      <c r="D31" s="4">
        <v>148.31</v>
      </c>
      <c r="E31" s="4">
        <v>157.78</v>
      </c>
      <c r="F31" s="4">
        <v>248.83</v>
      </c>
      <c r="G31" s="4">
        <v>373.25</v>
      </c>
      <c r="H31" s="4">
        <v>557.57000000000005</v>
      </c>
      <c r="I31" s="4">
        <v>785</v>
      </c>
      <c r="J31" s="4">
        <v>738.42</v>
      </c>
      <c r="K31" s="4">
        <v>816.34</v>
      </c>
    </row>
    <row r="32" spans="1:11" s="5" customFormat="1" ht="14.4" x14ac:dyDescent="0.55000000000000004"/>
    <row r="33" spans="1:11" ht="14.4" x14ac:dyDescent="0.55000000000000004">
      <c r="A33" s="5"/>
    </row>
    <row r="34" spans="1:11" ht="14.4" x14ac:dyDescent="0.55000000000000004">
      <c r="A34" s="5"/>
    </row>
    <row r="35" spans="1:11" ht="14.4" x14ac:dyDescent="0.55000000000000004">
      <c r="A35" s="5"/>
    </row>
    <row r="36" spans="1:11" ht="14.4" x14ac:dyDescent="0.55000000000000004">
      <c r="A36" s="5"/>
    </row>
    <row r="37" spans="1:11" ht="14.4" x14ac:dyDescent="0.55000000000000004">
      <c r="A37" s="5"/>
    </row>
    <row r="38" spans="1:11" ht="14.4" x14ac:dyDescent="0.55000000000000004">
      <c r="A38" s="5"/>
    </row>
    <row r="39" spans="1:11" ht="14.4" x14ac:dyDescent="0.55000000000000004">
      <c r="A39" s="5"/>
    </row>
    <row r="40" spans="1:11" ht="14.4" x14ac:dyDescent="0.55000000000000004">
      <c r="A40" s="3" t="s">
        <v>34</v>
      </c>
    </row>
    <row r="41" spans="1:11" s="6" customFormat="1" ht="14.4" x14ac:dyDescent="0.55000000000000004">
      <c r="A41" s="8" t="s">
        <v>7</v>
      </c>
      <c r="B41" s="7">
        <v>45199</v>
      </c>
      <c r="C41" s="7">
        <v>45291</v>
      </c>
      <c r="D41" s="7">
        <v>45382</v>
      </c>
      <c r="E41" s="7">
        <v>45473</v>
      </c>
      <c r="F41" s="7">
        <v>45565</v>
      </c>
      <c r="G41" s="7">
        <v>45657</v>
      </c>
      <c r="H41" s="7">
        <v>45747</v>
      </c>
      <c r="I41" s="7">
        <v>45838</v>
      </c>
      <c r="J41" s="7">
        <v>45930</v>
      </c>
      <c r="K41" s="7">
        <v>46022</v>
      </c>
    </row>
    <row r="42" spans="1:11" s="5" customFormat="1" ht="14.4" x14ac:dyDescent="0.55000000000000004">
      <c r="A42" s="5" t="s">
        <v>33</v>
      </c>
      <c r="B42" s="4">
        <v>3733.78</v>
      </c>
      <c r="C42" s="4">
        <v>3803.92</v>
      </c>
      <c r="D42" s="4">
        <v>3926.94</v>
      </c>
      <c r="E42" s="4">
        <v>4352.07</v>
      </c>
      <c r="F42" s="4">
        <v>4214.45</v>
      </c>
      <c r="G42" s="4">
        <v>4443.5600000000004</v>
      </c>
      <c r="H42" s="4">
        <v>4608.22</v>
      </c>
      <c r="I42" s="4">
        <v>4778.91</v>
      </c>
      <c r="J42" s="4">
        <v>4965.8999999999996</v>
      </c>
      <c r="K42" s="4">
        <v>5112</v>
      </c>
    </row>
    <row r="43" spans="1:11" s="5" customFormat="1" ht="14.4" x14ac:dyDescent="0.55000000000000004">
      <c r="A43" s="5" t="s">
        <v>32</v>
      </c>
      <c r="B43" s="4">
        <v>3196.69</v>
      </c>
      <c r="C43" s="4">
        <v>3231.54</v>
      </c>
      <c r="D43" s="4">
        <v>3297.34</v>
      </c>
      <c r="E43" s="4">
        <v>3684.69</v>
      </c>
      <c r="F43" s="4">
        <v>3588.16</v>
      </c>
      <c r="G43" s="4">
        <v>3878.83</v>
      </c>
      <c r="H43" s="4">
        <v>3987.27</v>
      </c>
      <c r="I43" s="4">
        <v>4171.97</v>
      </c>
      <c r="J43" s="4">
        <v>4294.12</v>
      </c>
      <c r="K43" s="4">
        <v>4391.33</v>
      </c>
    </row>
    <row r="44" spans="1:11" s="5" customFormat="1" ht="14.4" x14ac:dyDescent="0.55000000000000004">
      <c r="A44" s="5" t="s">
        <v>31</v>
      </c>
      <c r="B44" s="4">
        <v>75.28</v>
      </c>
      <c r="C44" s="4">
        <v>-31.94</v>
      </c>
      <c r="D44" s="4">
        <v>-177.35</v>
      </c>
      <c r="E44" s="4">
        <v>22.07</v>
      </c>
      <c r="F44" s="4">
        <v>18.8</v>
      </c>
      <c r="G44" s="4">
        <v>45.44</v>
      </c>
      <c r="H44" s="4">
        <v>101.83</v>
      </c>
      <c r="I44" s="4">
        <v>41.17</v>
      </c>
      <c r="J44" s="4">
        <v>38.01</v>
      </c>
      <c r="K44" s="4">
        <v>10.15</v>
      </c>
    </row>
    <row r="45" spans="1:11" s="5" customFormat="1" ht="14.4" x14ac:dyDescent="0.55000000000000004">
      <c r="A45" s="5" t="s">
        <v>30</v>
      </c>
      <c r="B45" s="4">
        <v>93.93</v>
      </c>
      <c r="C45" s="4">
        <v>85.51</v>
      </c>
      <c r="D45" s="4">
        <v>115.76</v>
      </c>
      <c r="E45" s="4">
        <v>148</v>
      </c>
      <c r="F45" s="4">
        <v>149.33000000000001</v>
      </c>
      <c r="G45" s="4">
        <v>150.32</v>
      </c>
      <c r="H45" s="4">
        <v>153.09</v>
      </c>
      <c r="I45" s="4">
        <v>148.93</v>
      </c>
      <c r="J45" s="4">
        <v>153.28</v>
      </c>
      <c r="K45" s="4">
        <v>159.29</v>
      </c>
    </row>
    <row r="46" spans="1:11" s="5" customFormat="1" ht="14.4" x14ac:dyDescent="0.55000000000000004">
      <c r="A46" s="5" t="s">
        <v>29</v>
      </c>
      <c r="B46" s="4">
        <v>27.56</v>
      </c>
      <c r="C46" s="4">
        <v>33.19</v>
      </c>
      <c r="D46" s="4">
        <v>42.83</v>
      </c>
      <c r="E46" s="4">
        <v>93.6</v>
      </c>
      <c r="F46" s="4">
        <v>98.69</v>
      </c>
      <c r="G46" s="4">
        <v>57.92</v>
      </c>
      <c r="H46" s="4">
        <v>39.99</v>
      </c>
      <c r="I46" s="4">
        <v>33.76</v>
      </c>
      <c r="J46" s="4">
        <v>33.229999999999997</v>
      </c>
      <c r="K46" s="4">
        <v>31.62</v>
      </c>
    </row>
    <row r="47" spans="1:11" s="5" customFormat="1" ht="14.4" x14ac:dyDescent="0.55000000000000004">
      <c r="A47" s="5" t="s">
        <v>28</v>
      </c>
      <c r="B47" s="4">
        <v>490.88</v>
      </c>
      <c r="C47" s="4">
        <v>421.74</v>
      </c>
      <c r="D47" s="4">
        <v>293.66000000000003</v>
      </c>
      <c r="E47" s="4">
        <v>447.85</v>
      </c>
      <c r="F47" s="4">
        <v>397.07</v>
      </c>
      <c r="G47" s="4">
        <v>401.93</v>
      </c>
      <c r="H47" s="4">
        <v>529.70000000000005</v>
      </c>
      <c r="I47" s="4">
        <v>465.42</v>
      </c>
      <c r="J47" s="4">
        <v>523.28</v>
      </c>
      <c r="K47" s="4">
        <v>539.91</v>
      </c>
    </row>
    <row r="48" spans="1:11" s="5" customFormat="1" ht="14.4" x14ac:dyDescent="0.55000000000000004">
      <c r="A48" s="5" t="s">
        <v>27</v>
      </c>
      <c r="B48" s="4">
        <v>131.69999999999999</v>
      </c>
      <c r="C48" s="4">
        <v>106.21</v>
      </c>
      <c r="D48" s="4">
        <v>25.95</v>
      </c>
      <c r="E48" s="4">
        <v>133.69999999999999</v>
      </c>
      <c r="F48" s="4">
        <v>37.729999999999997</v>
      </c>
      <c r="G48" s="4">
        <v>102.18</v>
      </c>
      <c r="H48" s="4">
        <v>122.63</v>
      </c>
      <c r="I48" s="4">
        <v>118.98</v>
      </c>
      <c r="J48" s="4">
        <v>126.23</v>
      </c>
      <c r="K48" s="4">
        <v>137.12</v>
      </c>
    </row>
    <row r="49" spans="1:11" s="5" customFormat="1" ht="14.4" x14ac:dyDescent="0.55000000000000004">
      <c r="A49" s="5" t="s">
        <v>26</v>
      </c>
      <c r="B49" s="4">
        <v>338.24</v>
      </c>
      <c r="C49" s="4">
        <v>278.87</v>
      </c>
      <c r="D49" s="4">
        <v>216.63</v>
      </c>
      <c r="E49" s="4">
        <v>290.32</v>
      </c>
      <c r="F49" s="4">
        <v>364.42</v>
      </c>
      <c r="G49" s="4">
        <v>278.88</v>
      </c>
      <c r="H49" s="4">
        <v>344.85</v>
      </c>
      <c r="I49" s="4">
        <v>334.15</v>
      </c>
      <c r="J49" s="4">
        <v>404.46</v>
      </c>
      <c r="K49" s="4">
        <v>384.61</v>
      </c>
    </row>
    <row r="50" spans="1:11" ht="14.4" x14ac:dyDescent="0.55000000000000004">
      <c r="A50" s="5" t="s">
        <v>25</v>
      </c>
      <c r="B50" s="4">
        <v>537.09</v>
      </c>
      <c r="C50" s="4">
        <v>572.38</v>
      </c>
      <c r="D50" s="4">
        <v>629.6</v>
      </c>
      <c r="E50" s="4">
        <v>667.38</v>
      </c>
      <c r="F50" s="4">
        <v>626.29</v>
      </c>
      <c r="G50" s="4">
        <v>564.73</v>
      </c>
      <c r="H50" s="4">
        <v>620.95000000000005</v>
      </c>
      <c r="I50" s="4">
        <v>606.94000000000005</v>
      </c>
      <c r="J50" s="4">
        <v>671.78</v>
      </c>
      <c r="K50" s="4">
        <v>720.67</v>
      </c>
    </row>
    <row r="51" spans="1:11" ht="14.4" x14ac:dyDescent="0.55000000000000004">
      <c r="A51" s="5"/>
    </row>
    <row r="52" spans="1:11" ht="14.4" x14ac:dyDescent="0.55000000000000004">
      <c r="A52" s="5"/>
    </row>
    <row r="53" spans="1:11" ht="14.4" x14ac:dyDescent="0.55000000000000004">
      <c r="A53" s="5"/>
    </row>
    <row r="54" spans="1:11" ht="14.4" x14ac:dyDescent="0.55000000000000004">
      <c r="A54" s="5"/>
    </row>
    <row r="55" spans="1:11" ht="14.4" x14ac:dyDescent="0.55000000000000004">
      <c r="A55" s="3" t="s">
        <v>24</v>
      </c>
    </row>
    <row r="56" spans="1:11" s="6" customFormat="1" ht="14.4" x14ac:dyDescent="0.55000000000000004">
      <c r="A56" s="8" t="s">
        <v>7</v>
      </c>
      <c r="B56" s="7">
        <v>42460</v>
      </c>
      <c r="C56" s="7">
        <v>42825</v>
      </c>
      <c r="D56" s="7">
        <v>43190</v>
      </c>
      <c r="E56" s="7">
        <v>43555</v>
      </c>
      <c r="F56" s="7">
        <v>43921</v>
      </c>
      <c r="G56" s="7">
        <v>44286</v>
      </c>
      <c r="H56" s="7">
        <v>44651</v>
      </c>
      <c r="I56" s="7">
        <v>45016</v>
      </c>
      <c r="J56" s="7">
        <v>45382</v>
      </c>
      <c r="K56" s="7">
        <v>45747</v>
      </c>
    </row>
    <row r="57" spans="1:11" ht="14.4" x14ac:dyDescent="0.55000000000000004">
      <c r="A57" s="5" t="s">
        <v>23</v>
      </c>
      <c r="B57" s="4">
        <v>63.11</v>
      </c>
      <c r="C57" s="4">
        <v>63.11</v>
      </c>
      <c r="D57" s="4">
        <v>63.11</v>
      </c>
      <c r="E57" s="4">
        <v>63.11</v>
      </c>
      <c r="F57" s="4">
        <v>92.16</v>
      </c>
      <c r="G57" s="4">
        <v>92.16</v>
      </c>
      <c r="H57" s="4">
        <v>92.16</v>
      </c>
      <c r="I57" s="4">
        <v>92.9</v>
      </c>
      <c r="J57" s="4">
        <v>95.28</v>
      </c>
      <c r="K57" s="4">
        <v>98.95</v>
      </c>
    </row>
    <row r="58" spans="1:11" ht="14.4" x14ac:dyDescent="0.55000000000000004">
      <c r="A58" s="5" t="s">
        <v>22</v>
      </c>
      <c r="B58" s="4">
        <v>6184.06</v>
      </c>
      <c r="C58" s="4">
        <v>6202.39</v>
      </c>
      <c r="D58" s="4">
        <v>6968.49</v>
      </c>
      <c r="E58" s="4">
        <v>7268.58</v>
      </c>
      <c r="F58" s="4">
        <v>13722.7</v>
      </c>
      <c r="G58" s="4">
        <v>14442.35</v>
      </c>
      <c r="H58" s="4">
        <v>15049.78</v>
      </c>
      <c r="I58" s="4">
        <v>16183.81</v>
      </c>
      <c r="J58" s="4">
        <v>15961.51</v>
      </c>
      <c r="K58" s="4">
        <v>19902.13</v>
      </c>
    </row>
    <row r="59" spans="1:11" ht="14.4" x14ac:dyDescent="0.55000000000000004">
      <c r="A59" s="5" t="s">
        <v>21</v>
      </c>
      <c r="B59" s="4">
        <v>1354.05</v>
      </c>
      <c r="C59" s="4">
        <v>786.56</v>
      </c>
      <c r="D59" s="4">
        <v>1067.58</v>
      </c>
      <c r="E59" s="4">
        <v>1141.0999999999999</v>
      </c>
      <c r="F59" s="4">
        <v>1586.32</v>
      </c>
      <c r="G59" s="4">
        <v>1633.55</v>
      </c>
      <c r="H59" s="4">
        <v>1412.01</v>
      </c>
      <c r="I59" s="4">
        <v>1600.04</v>
      </c>
      <c r="J59" s="4">
        <v>3477.22</v>
      </c>
      <c r="K59" s="4">
        <v>2392.6799999999998</v>
      </c>
    </row>
    <row r="60" spans="1:11" ht="14.4" x14ac:dyDescent="0.55000000000000004">
      <c r="A60" s="5" t="s">
        <v>20</v>
      </c>
      <c r="B60" s="4">
        <v>2293.54</v>
      </c>
      <c r="C60" s="4">
        <v>2499.35</v>
      </c>
      <c r="D60" s="4">
        <v>2361.58</v>
      </c>
      <c r="E60" s="4">
        <v>2407.89</v>
      </c>
      <c r="F60" s="4">
        <v>3071.86</v>
      </c>
      <c r="G60" s="4">
        <v>4049.76</v>
      </c>
      <c r="H60" s="4">
        <v>4520.92</v>
      </c>
      <c r="I60" s="4">
        <v>4885.74</v>
      </c>
      <c r="J60" s="4">
        <v>8344.7800000000007</v>
      </c>
      <c r="K60" s="4">
        <v>9436.86</v>
      </c>
    </row>
    <row r="61" spans="1:11" s="3" customFormat="1" ht="14.4" x14ac:dyDescent="0.55000000000000004">
      <c r="A61" s="3" t="s">
        <v>15</v>
      </c>
      <c r="B61" s="4">
        <v>9894.76</v>
      </c>
      <c r="C61" s="4">
        <v>9551.41</v>
      </c>
      <c r="D61" s="4">
        <v>10460.76</v>
      </c>
      <c r="E61" s="4">
        <v>10880.68</v>
      </c>
      <c r="F61" s="4">
        <v>18473.04</v>
      </c>
      <c r="G61" s="4">
        <v>20217.82</v>
      </c>
      <c r="H61" s="4">
        <v>21074.87</v>
      </c>
      <c r="I61" s="4">
        <v>22762.49</v>
      </c>
      <c r="J61" s="4">
        <v>27878.79</v>
      </c>
      <c r="K61" s="4">
        <v>31830.62</v>
      </c>
    </row>
    <row r="62" spans="1:11" ht="14.4" x14ac:dyDescent="0.55000000000000004">
      <c r="A62" s="5" t="s">
        <v>19</v>
      </c>
      <c r="B62" s="4">
        <v>4661.8</v>
      </c>
      <c r="C62" s="4">
        <v>4572.59</v>
      </c>
      <c r="D62" s="4">
        <v>4798.18</v>
      </c>
      <c r="E62" s="4">
        <v>4913.3100000000004</v>
      </c>
      <c r="F62" s="4">
        <v>11656.04</v>
      </c>
      <c r="G62" s="4">
        <v>12023.13</v>
      </c>
      <c r="H62" s="4">
        <v>12599.35</v>
      </c>
      <c r="I62" s="4">
        <v>13070.04</v>
      </c>
      <c r="J62" s="4">
        <v>19357.900000000001</v>
      </c>
      <c r="K62" s="4">
        <v>21476.84</v>
      </c>
    </row>
    <row r="63" spans="1:11" ht="14.4" x14ac:dyDescent="0.55000000000000004">
      <c r="A63" s="5" t="s">
        <v>18</v>
      </c>
      <c r="B63" s="4">
        <v>39.42</v>
      </c>
      <c r="C63" s="4">
        <v>63.19</v>
      </c>
      <c r="D63" s="4">
        <v>135.16</v>
      </c>
      <c r="E63" s="4">
        <v>424.41</v>
      </c>
      <c r="F63" s="4">
        <v>95.35</v>
      </c>
      <c r="G63" s="4">
        <v>112.85</v>
      </c>
      <c r="H63" s="4">
        <v>246.97</v>
      </c>
      <c r="I63" s="4">
        <v>294.89999999999998</v>
      </c>
      <c r="J63" s="4">
        <v>189.6</v>
      </c>
      <c r="K63" s="4">
        <v>218.1</v>
      </c>
    </row>
    <row r="64" spans="1:11" ht="14.4" x14ac:dyDescent="0.55000000000000004">
      <c r="A64" s="5" t="s">
        <v>17</v>
      </c>
      <c r="B64" s="4">
        <v>1365.94</v>
      </c>
      <c r="C64" s="4">
        <v>1451.04</v>
      </c>
      <c r="D64" s="4">
        <v>1161.33</v>
      </c>
      <c r="E64" s="4">
        <v>1187.6600000000001</v>
      </c>
      <c r="F64" s="4">
        <v>1322.85</v>
      </c>
      <c r="G64" s="4">
        <v>805.89</v>
      </c>
      <c r="H64" s="4">
        <v>797.28</v>
      </c>
      <c r="I64" s="4">
        <v>1432.97</v>
      </c>
      <c r="J64" s="4">
        <v>870.55</v>
      </c>
      <c r="K64" s="4">
        <v>968.67</v>
      </c>
    </row>
    <row r="65" spans="1:11" ht="14.4" x14ac:dyDescent="0.55000000000000004">
      <c r="A65" s="5" t="s">
        <v>16</v>
      </c>
      <c r="B65" s="4">
        <v>3827.6</v>
      </c>
      <c r="C65" s="4">
        <v>3464.59</v>
      </c>
      <c r="D65" s="4">
        <v>4366.09</v>
      </c>
      <c r="E65" s="4">
        <v>4355.3</v>
      </c>
      <c r="F65" s="4">
        <v>5398.8</v>
      </c>
      <c r="G65" s="4">
        <v>7275.95</v>
      </c>
      <c r="H65" s="4">
        <v>7431.27</v>
      </c>
      <c r="I65" s="4">
        <v>7964.58</v>
      </c>
      <c r="J65" s="4">
        <v>7460.74</v>
      </c>
      <c r="K65" s="4">
        <v>9167.01</v>
      </c>
    </row>
    <row r="66" spans="1:11" s="3" customFormat="1" ht="14.4" x14ac:dyDescent="0.55000000000000004">
      <c r="A66" s="3" t="s">
        <v>15</v>
      </c>
      <c r="B66" s="4">
        <v>9894.76</v>
      </c>
      <c r="C66" s="4">
        <v>9551.41</v>
      </c>
      <c r="D66" s="4">
        <v>10460.76</v>
      </c>
      <c r="E66" s="4">
        <v>10880.68</v>
      </c>
      <c r="F66" s="4">
        <v>18473.04</v>
      </c>
      <c r="G66" s="4">
        <v>20217.82</v>
      </c>
      <c r="H66" s="4">
        <v>21074.87</v>
      </c>
      <c r="I66" s="4">
        <v>22762.49</v>
      </c>
      <c r="J66" s="4">
        <v>27878.79</v>
      </c>
      <c r="K66" s="4">
        <v>31830.62</v>
      </c>
    </row>
    <row r="67" spans="1:11" s="5" customFormat="1" ht="14.4" x14ac:dyDescent="0.55000000000000004">
      <c r="A67" s="5" t="s">
        <v>14</v>
      </c>
      <c r="B67" s="4">
        <v>592.42999999999995</v>
      </c>
      <c r="C67" s="4">
        <v>592.45000000000005</v>
      </c>
      <c r="D67" s="4">
        <v>648.28</v>
      </c>
      <c r="E67" s="4">
        <v>680.55</v>
      </c>
      <c r="F67" s="4">
        <v>922.41</v>
      </c>
      <c r="G67" s="4">
        <v>761.32</v>
      </c>
      <c r="H67" s="4">
        <v>835.15</v>
      </c>
      <c r="I67" s="4">
        <v>798.33</v>
      </c>
      <c r="J67" s="4">
        <v>896.75</v>
      </c>
      <c r="K67" s="4">
        <v>869.79</v>
      </c>
    </row>
    <row r="68" spans="1:11" ht="14.4" x14ac:dyDescent="0.55000000000000004">
      <c r="A68" s="5" t="s">
        <v>13</v>
      </c>
      <c r="B68" s="4">
        <v>1629.01</v>
      </c>
      <c r="C68" s="4">
        <v>1452.96</v>
      </c>
      <c r="D68" s="4">
        <v>1448.31</v>
      </c>
      <c r="E68" s="4">
        <v>1608.54</v>
      </c>
      <c r="F68" s="4">
        <v>1712.03</v>
      </c>
      <c r="G68" s="4">
        <v>2249.16</v>
      </c>
      <c r="H68" s="4">
        <v>2266.5100000000002</v>
      </c>
      <c r="I68" s="4">
        <v>2701.67</v>
      </c>
      <c r="J68" s="4">
        <v>2769.35</v>
      </c>
      <c r="K68" s="4">
        <v>3599.91</v>
      </c>
    </row>
    <row r="69" spans="1:11" ht="14.4" x14ac:dyDescent="0.55000000000000004">
      <c r="A69" s="1" t="s">
        <v>12</v>
      </c>
      <c r="B69" s="4">
        <v>501.03</v>
      </c>
      <c r="C69" s="4">
        <v>574.82000000000005</v>
      </c>
      <c r="D69" s="4">
        <v>1238.1400000000001</v>
      </c>
      <c r="E69" s="4">
        <v>1033.6099999999999</v>
      </c>
      <c r="F69" s="4">
        <v>1621.46</v>
      </c>
      <c r="G69" s="4">
        <v>3074.88</v>
      </c>
      <c r="H69" s="4">
        <v>2599.89</v>
      </c>
      <c r="I69" s="4">
        <v>2796.94</v>
      </c>
      <c r="J69" s="4">
        <v>2454.4899999999998</v>
      </c>
      <c r="K69" s="4">
        <v>2817.86</v>
      </c>
    </row>
    <row r="70" spans="1:11" ht="14.4" x14ac:dyDescent="0.55000000000000004">
      <c r="A70" s="1" t="s">
        <v>11</v>
      </c>
      <c r="B70" s="4">
        <v>631129729</v>
      </c>
      <c r="C70" s="4">
        <v>631129729</v>
      </c>
      <c r="D70" s="4">
        <v>631129729</v>
      </c>
      <c r="E70" s="4">
        <v>631129729</v>
      </c>
      <c r="F70" s="4">
        <v>921551715</v>
      </c>
      <c r="G70" s="4">
        <v>921551715</v>
      </c>
      <c r="H70" s="4">
        <v>921551715</v>
      </c>
      <c r="I70" s="4">
        <v>929011650</v>
      </c>
      <c r="J70" s="4">
        <v>952834816</v>
      </c>
      <c r="K70" s="4">
        <v>989498558</v>
      </c>
    </row>
    <row r="71" spans="1:11" ht="14.4" x14ac:dyDescent="0.55000000000000004">
      <c r="A71" s="1" t="s">
        <v>10</v>
      </c>
      <c r="D71" s="4"/>
    </row>
    <row r="72" spans="1:11" ht="14.4" x14ac:dyDescent="0.55000000000000004">
      <c r="A72" s="1" t="s">
        <v>9</v>
      </c>
      <c r="B72" s="4">
        <v>1</v>
      </c>
      <c r="C72" s="4">
        <v>1</v>
      </c>
      <c r="D72" s="4">
        <v>1</v>
      </c>
      <c r="E72" s="4">
        <v>1</v>
      </c>
      <c r="F72" s="4">
        <v>1</v>
      </c>
      <c r="G72" s="4">
        <v>1</v>
      </c>
      <c r="H72" s="4">
        <v>1</v>
      </c>
      <c r="I72" s="4">
        <v>1</v>
      </c>
      <c r="J72" s="4">
        <v>1</v>
      </c>
      <c r="K72" s="4">
        <v>1</v>
      </c>
    </row>
    <row r="74" spans="1:11" ht="14.4" x14ac:dyDescent="0.55000000000000004">
      <c r="A74" s="5"/>
    </row>
    <row r="75" spans="1:11" ht="14.4" x14ac:dyDescent="0.55000000000000004">
      <c r="A75" s="5"/>
    </row>
    <row r="76" spans="1:11" ht="14.4" x14ac:dyDescent="0.55000000000000004">
      <c r="A76" s="5"/>
    </row>
    <row r="77" spans="1:11" ht="14.4" x14ac:dyDescent="0.55000000000000004">
      <c r="A77" s="5"/>
    </row>
    <row r="78" spans="1:11" ht="14.4" x14ac:dyDescent="0.55000000000000004">
      <c r="A78" s="5"/>
    </row>
    <row r="79" spans="1:11" ht="14.4" x14ac:dyDescent="0.55000000000000004">
      <c r="A79" s="5"/>
    </row>
    <row r="80" spans="1:11" ht="14.4" x14ac:dyDescent="0.55000000000000004">
      <c r="A80" s="3" t="s">
        <v>8</v>
      </c>
    </row>
    <row r="81" spans="1:11" s="6" customFormat="1" ht="14.4" x14ac:dyDescent="0.55000000000000004">
      <c r="A81" s="8" t="s">
        <v>7</v>
      </c>
      <c r="B81" s="7">
        <v>42460</v>
      </c>
      <c r="C81" s="7">
        <v>42825</v>
      </c>
      <c r="D81" s="7">
        <v>43190</v>
      </c>
      <c r="E81" s="7">
        <v>43555</v>
      </c>
      <c r="F81" s="7">
        <v>43921</v>
      </c>
      <c r="G81" s="7">
        <v>44286</v>
      </c>
      <c r="H81" s="7">
        <v>44651</v>
      </c>
      <c r="I81" s="7">
        <v>45016</v>
      </c>
      <c r="J81" s="7">
        <v>45382</v>
      </c>
      <c r="K81" s="7">
        <v>45747</v>
      </c>
    </row>
    <row r="82" spans="1:11" s="3" customFormat="1" ht="14.4" x14ac:dyDescent="0.55000000000000004">
      <c r="A82" s="5" t="s">
        <v>6</v>
      </c>
      <c r="B82" s="4">
        <v>115.98</v>
      </c>
      <c r="C82" s="4">
        <v>741.2</v>
      </c>
      <c r="D82" s="4">
        <v>355.58</v>
      </c>
      <c r="E82" s="4">
        <v>209.87</v>
      </c>
      <c r="F82" s="4">
        <v>1082.23</v>
      </c>
      <c r="G82" s="4">
        <v>1656.37</v>
      </c>
      <c r="H82" s="4">
        <v>1515.81</v>
      </c>
      <c r="I82" s="4">
        <v>1461.29</v>
      </c>
      <c r="J82" s="4">
        <v>1936.68</v>
      </c>
      <c r="K82" s="4">
        <v>2056.65</v>
      </c>
    </row>
    <row r="83" spans="1:11" s="5" customFormat="1" ht="14.4" x14ac:dyDescent="0.55000000000000004">
      <c r="A83" s="5" t="s">
        <v>5</v>
      </c>
      <c r="B83" s="4">
        <v>144.62</v>
      </c>
      <c r="C83" s="4">
        <v>145.05000000000001</v>
      </c>
      <c r="D83" s="4">
        <v>-31.1</v>
      </c>
      <c r="E83" s="4">
        <v>53.17</v>
      </c>
      <c r="F83" s="4">
        <v>-622.04</v>
      </c>
      <c r="G83" s="4">
        <v>-346.5</v>
      </c>
      <c r="H83" s="4">
        <v>-1317.11</v>
      </c>
      <c r="I83" s="4">
        <v>-833.61</v>
      </c>
      <c r="J83" s="4">
        <v>-1910.77</v>
      </c>
      <c r="K83" s="4">
        <v>-2303.48</v>
      </c>
    </row>
    <row r="84" spans="1:11" s="5" customFormat="1" ht="14.4" x14ac:dyDescent="0.55000000000000004">
      <c r="A84" s="5" t="s">
        <v>4</v>
      </c>
      <c r="B84" s="4">
        <v>-281.8</v>
      </c>
      <c r="C84" s="4">
        <v>-815.84</v>
      </c>
      <c r="D84" s="4">
        <v>-30.39</v>
      </c>
      <c r="E84" s="4">
        <v>-223.73</v>
      </c>
      <c r="F84" s="4">
        <v>-308.33</v>
      </c>
      <c r="G84" s="4">
        <v>-426.03</v>
      </c>
      <c r="H84" s="4">
        <v>-994.77</v>
      </c>
      <c r="I84" s="4">
        <v>-714.4</v>
      </c>
      <c r="J84" s="4">
        <v>255.55</v>
      </c>
      <c r="K84" s="4">
        <v>452.7</v>
      </c>
    </row>
    <row r="85" spans="1:11" s="3" customFormat="1" ht="14.4" x14ac:dyDescent="0.55000000000000004">
      <c r="A85" s="5" t="s">
        <v>3</v>
      </c>
      <c r="B85" s="4">
        <v>-21.2</v>
      </c>
      <c r="C85" s="4">
        <v>70.41</v>
      </c>
      <c r="D85" s="4">
        <v>294.08999999999997</v>
      </c>
      <c r="E85" s="4">
        <v>39.31</v>
      </c>
      <c r="F85" s="4">
        <v>151.86000000000001</v>
      </c>
      <c r="G85" s="4">
        <v>883.84</v>
      </c>
      <c r="H85" s="4">
        <v>-796.07</v>
      </c>
      <c r="I85" s="4">
        <v>-86.72</v>
      </c>
      <c r="J85" s="4">
        <v>281.45999999999998</v>
      </c>
      <c r="K85" s="4">
        <v>205.87</v>
      </c>
    </row>
    <row r="86" spans="1:11" ht="14.4" x14ac:dyDescent="0.55000000000000004">
      <c r="A86" s="5"/>
    </row>
    <row r="87" spans="1:11" ht="14.4" x14ac:dyDescent="0.55000000000000004">
      <c r="A87" s="5"/>
    </row>
    <row r="88" spans="1:11" ht="14.4" x14ac:dyDescent="0.55000000000000004">
      <c r="A88" s="5"/>
    </row>
    <row r="89" spans="1:11" ht="14.4" x14ac:dyDescent="0.55000000000000004">
      <c r="A89" s="5"/>
    </row>
    <row r="90" spans="1:11" s="3" customFormat="1" ht="14.4" x14ac:dyDescent="0.55000000000000004">
      <c r="A90" s="3" t="s">
        <v>2</v>
      </c>
      <c r="B90" s="4">
        <v>119.76</v>
      </c>
      <c r="C90" s="4">
        <v>148.69999999999999</v>
      </c>
      <c r="D90" s="4">
        <v>255.57</v>
      </c>
      <c r="E90" s="4">
        <v>201.45</v>
      </c>
      <c r="F90" s="4">
        <v>291.23</v>
      </c>
      <c r="G90" s="4">
        <v>631.05999999999995</v>
      </c>
      <c r="H90" s="4">
        <v>767.86</v>
      </c>
      <c r="I90" s="4">
        <v>700.15</v>
      </c>
      <c r="J90" s="4">
        <v>1082.74</v>
      </c>
      <c r="K90" s="4">
        <v>1001.9</v>
      </c>
    </row>
    <row r="92" spans="1:11" s="3" customFormat="1" ht="14.4" x14ac:dyDescent="0.55000000000000004">
      <c r="A92" s="3" t="s">
        <v>1</v>
      </c>
    </row>
    <row r="93" spans="1:11" x14ac:dyDescent="0.45">
      <c r="A93" s="1" t="s">
        <v>0</v>
      </c>
      <c r="B93" s="2">
        <v>65.540000000000006</v>
      </c>
      <c r="C93" s="2">
        <v>65.540000000000006</v>
      </c>
      <c r="D93" s="2">
        <v>65.540000000000006</v>
      </c>
      <c r="E93" s="2">
        <v>65.540000000000006</v>
      </c>
      <c r="F93" s="2">
        <v>95.7</v>
      </c>
      <c r="G93" s="2">
        <v>95.7</v>
      </c>
      <c r="H93" s="2">
        <v>95.7</v>
      </c>
      <c r="I93" s="2">
        <v>96.47</v>
      </c>
      <c r="J93" s="2">
        <v>98.95</v>
      </c>
      <c r="K93" s="2">
        <v>98.95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8E4C4B11-96C5-4B18-9EB3-5FF0C576E4FB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E9A0-57DB-4A74-9A52-C25C8EE0C0E8}">
  <sheetPr codeName="Sheet7"/>
  <dimension ref="B2:L35"/>
  <sheetViews>
    <sheetView showGridLines="0" workbookViewId="0">
      <selection activeCell="O24" sqref="O24"/>
    </sheetView>
  </sheetViews>
  <sheetFormatPr defaultRowHeight="13.8" x14ac:dyDescent="0.45"/>
  <cols>
    <col min="1" max="1" width="1.76171875" customWidth="1"/>
    <col min="2" max="2" width="23.94921875" bestFit="1" customWidth="1"/>
  </cols>
  <sheetData>
    <row r="2" spans="2:12" x14ac:dyDescent="0.45">
      <c r="C2" s="31">
        <v>42430</v>
      </c>
      <c r="D2" s="31">
        <v>42795</v>
      </c>
      <c r="E2" s="31">
        <v>43160</v>
      </c>
      <c r="F2" s="31">
        <v>43525</v>
      </c>
      <c r="G2" s="31">
        <v>43891</v>
      </c>
      <c r="H2" s="31">
        <v>44256</v>
      </c>
      <c r="I2" s="31">
        <v>44621</v>
      </c>
      <c r="J2" s="31">
        <v>44986</v>
      </c>
      <c r="K2" s="31">
        <v>45352</v>
      </c>
      <c r="L2" s="31">
        <v>45717</v>
      </c>
    </row>
    <row r="3" spans="2:12" x14ac:dyDescent="0.45">
      <c r="B3" t="s">
        <v>115</v>
      </c>
      <c r="C3">
        <v>116</v>
      </c>
      <c r="D3">
        <v>741</v>
      </c>
      <c r="E3">
        <v>356</v>
      </c>
      <c r="F3">
        <v>210</v>
      </c>
      <c r="G3" s="32">
        <v>1082</v>
      </c>
      <c r="H3" s="32">
        <v>1656</v>
      </c>
      <c r="I3" s="32">
        <v>1516</v>
      </c>
      <c r="J3" s="32">
        <v>1461</v>
      </c>
      <c r="K3" s="32">
        <v>1937</v>
      </c>
      <c r="L3" s="32">
        <v>2057</v>
      </c>
    </row>
    <row r="4" spans="2:12" x14ac:dyDescent="0.45">
      <c r="B4" t="s">
        <v>88</v>
      </c>
      <c r="C4">
        <v>650</v>
      </c>
      <c r="D4">
        <v>803</v>
      </c>
      <c r="E4">
        <v>794</v>
      </c>
      <c r="F4">
        <v>799</v>
      </c>
      <c r="G4" s="32">
        <v>1293</v>
      </c>
      <c r="H4" s="32">
        <v>1579</v>
      </c>
      <c r="I4" s="32">
        <v>1749</v>
      </c>
      <c r="J4" s="32">
        <v>1875</v>
      </c>
      <c r="K4" s="32">
        <v>2323</v>
      </c>
      <c r="L4" s="32">
        <v>2514</v>
      </c>
    </row>
    <row r="5" spans="2:12" x14ac:dyDescent="0.45">
      <c r="B5" t="s">
        <v>14</v>
      </c>
      <c r="C5">
        <v>-48</v>
      </c>
      <c r="D5">
        <v>-60</v>
      </c>
      <c r="E5">
        <v>-114</v>
      </c>
      <c r="F5">
        <v>-133</v>
      </c>
      <c r="G5">
        <v>-177</v>
      </c>
      <c r="H5">
        <v>186</v>
      </c>
      <c r="I5">
        <v>-149</v>
      </c>
      <c r="J5">
        <v>-36</v>
      </c>
      <c r="K5">
        <v>-45</v>
      </c>
      <c r="L5">
        <v>36</v>
      </c>
    </row>
    <row r="6" spans="2:12" x14ac:dyDescent="0.45">
      <c r="B6" t="s">
        <v>13</v>
      </c>
      <c r="C6">
        <v>-70</v>
      </c>
      <c r="D6">
        <v>158</v>
      </c>
      <c r="E6">
        <v>-13</v>
      </c>
      <c r="F6">
        <v>-156</v>
      </c>
      <c r="G6">
        <v>81</v>
      </c>
      <c r="H6">
        <v>-533</v>
      </c>
      <c r="I6">
        <v>-1</v>
      </c>
      <c r="J6">
        <v>-368</v>
      </c>
      <c r="K6">
        <v>-3</v>
      </c>
      <c r="L6">
        <v>-734</v>
      </c>
    </row>
    <row r="7" spans="2:12" x14ac:dyDescent="0.45">
      <c r="B7" t="s">
        <v>89</v>
      </c>
      <c r="C7">
        <v>-153</v>
      </c>
      <c r="D7">
        <v>51</v>
      </c>
      <c r="E7">
        <v>-12</v>
      </c>
      <c r="F7">
        <v>-133</v>
      </c>
      <c r="G7">
        <v>14</v>
      </c>
      <c r="H7">
        <v>531</v>
      </c>
      <c r="I7">
        <v>152</v>
      </c>
      <c r="J7">
        <v>379</v>
      </c>
      <c r="K7">
        <v>60</v>
      </c>
      <c r="L7">
        <v>704</v>
      </c>
    </row>
    <row r="8" spans="2:12" x14ac:dyDescent="0.45">
      <c r="B8" t="s">
        <v>90</v>
      </c>
      <c r="C8">
        <v>-272</v>
      </c>
      <c r="D8">
        <v>148</v>
      </c>
      <c r="E8">
        <v>-139</v>
      </c>
      <c r="F8">
        <v>-422</v>
      </c>
      <c r="G8">
        <v>-82</v>
      </c>
      <c r="H8">
        <v>183</v>
      </c>
      <c r="I8">
        <v>2</v>
      </c>
      <c r="J8">
        <v>-25</v>
      </c>
      <c r="K8">
        <v>11</v>
      </c>
      <c r="L8">
        <v>5</v>
      </c>
    </row>
    <row r="9" spans="2:12" x14ac:dyDescent="0.45">
      <c r="B9" t="s">
        <v>91</v>
      </c>
      <c r="C9">
        <v>-234</v>
      </c>
      <c r="D9">
        <v>-211</v>
      </c>
      <c r="E9">
        <v>-299</v>
      </c>
      <c r="F9">
        <v>-167</v>
      </c>
      <c r="G9">
        <v>-128</v>
      </c>
      <c r="H9">
        <v>-106</v>
      </c>
      <c r="I9">
        <v>-235</v>
      </c>
      <c r="J9">
        <v>-389</v>
      </c>
      <c r="K9">
        <v>-398</v>
      </c>
      <c r="L9">
        <v>-462</v>
      </c>
    </row>
    <row r="10" spans="2:12" x14ac:dyDescent="0.45">
      <c r="B10" t="s">
        <v>92</v>
      </c>
      <c r="C10">
        <v>-28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2:12" x14ac:dyDescent="0.45">
      <c r="B11" t="s">
        <v>116</v>
      </c>
      <c r="C11">
        <v>145</v>
      </c>
      <c r="D11">
        <v>145</v>
      </c>
      <c r="E11">
        <v>-31</v>
      </c>
      <c r="F11">
        <v>53</v>
      </c>
      <c r="G11">
        <v>-622</v>
      </c>
      <c r="H11">
        <v>-346</v>
      </c>
      <c r="I11" s="32">
        <v>-1317</v>
      </c>
      <c r="J11">
        <v>-834</v>
      </c>
      <c r="K11" s="32">
        <v>-1911</v>
      </c>
      <c r="L11" s="32">
        <v>-2303</v>
      </c>
    </row>
    <row r="12" spans="2:12" x14ac:dyDescent="0.45">
      <c r="B12" t="s">
        <v>93</v>
      </c>
      <c r="C12">
        <v>-154</v>
      </c>
      <c r="D12">
        <v>-138</v>
      </c>
      <c r="E12">
        <v>-359</v>
      </c>
      <c r="F12">
        <v>-282</v>
      </c>
      <c r="G12">
        <v>-160</v>
      </c>
      <c r="H12">
        <v>-211</v>
      </c>
      <c r="I12">
        <v>-273</v>
      </c>
      <c r="J12">
        <v>-312</v>
      </c>
      <c r="K12">
        <v>-335</v>
      </c>
      <c r="L12">
        <v>-460</v>
      </c>
    </row>
    <row r="13" spans="2:12" x14ac:dyDescent="0.45">
      <c r="B13" t="s">
        <v>94</v>
      </c>
      <c r="C13">
        <v>8</v>
      </c>
      <c r="D13">
        <v>6</v>
      </c>
      <c r="E13">
        <v>9</v>
      </c>
      <c r="F13">
        <v>26</v>
      </c>
      <c r="G13">
        <v>9</v>
      </c>
      <c r="H13">
        <v>32</v>
      </c>
      <c r="I13">
        <v>27</v>
      </c>
      <c r="J13">
        <v>172</v>
      </c>
      <c r="K13">
        <v>24</v>
      </c>
      <c r="L13">
        <v>45</v>
      </c>
    </row>
    <row r="14" spans="2:12" x14ac:dyDescent="0.45">
      <c r="B14" t="s">
        <v>95</v>
      </c>
      <c r="C14">
        <v>0</v>
      </c>
      <c r="D14">
        <v>0</v>
      </c>
      <c r="E14">
        <v>-372</v>
      </c>
      <c r="F14">
        <v>0</v>
      </c>
      <c r="G14">
        <v>-222</v>
      </c>
      <c r="H14">
        <v>0</v>
      </c>
      <c r="I14">
        <v>0</v>
      </c>
      <c r="J14">
        <v>-533</v>
      </c>
      <c r="K14">
        <v>0</v>
      </c>
      <c r="L14">
        <v>-29</v>
      </c>
    </row>
    <row r="15" spans="2:12" x14ac:dyDescent="0.45">
      <c r="B15" t="s">
        <v>96</v>
      </c>
      <c r="C15">
        <v>175</v>
      </c>
      <c r="D15">
        <v>14</v>
      </c>
      <c r="E15">
        <v>811</v>
      </c>
      <c r="F15">
        <v>26</v>
      </c>
      <c r="G15">
        <v>65</v>
      </c>
      <c r="H15">
        <v>523</v>
      </c>
      <c r="I15">
        <v>136</v>
      </c>
      <c r="J15">
        <v>4</v>
      </c>
      <c r="K15">
        <v>710</v>
      </c>
      <c r="L15">
        <v>0</v>
      </c>
    </row>
    <row r="16" spans="2:12" x14ac:dyDescent="0.45">
      <c r="B16" t="s">
        <v>97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2:12" x14ac:dyDescent="0.45">
      <c r="B17" t="s">
        <v>98</v>
      </c>
      <c r="C17">
        <v>17</v>
      </c>
      <c r="D17">
        <v>29</v>
      </c>
      <c r="E17">
        <v>33</v>
      </c>
      <c r="F17">
        <v>49</v>
      </c>
      <c r="G17">
        <v>51</v>
      </c>
      <c r="H17">
        <v>68</v>
      </c>
      <c r="I17">
        <v>75</v>
      </c>
      <c r="J17">
        <v>109</v>
      </c>
      <c r="K17">
        <v>187</v>
      </c>
      <c r="L17">
        <v>111</v>
      </c>
    </row>
    <row r="18" spans="2:12" x14ac:dyDescent="0.45">
      <c r="B18" t="s">
        <v>99</v>
      </c>
      <c r="C18">
        <v>53</v>
      </c>
      <c r="D18">
        <v>29</v>
      </c>
      <c r="E18">
        <v>16</v>
      </c>
      <c r="F18">
        <v>5</v>
      </c>
      <c r="G18">
        <v>5</v>
      </c>
      <c r="H18">
        <v>5</v>
      </c>
      <c r="I18">
        <v>13</v>
      </c>
      <c r="J18">
        <v>13</v>
      </c>
      <c r="K18">
        <v>4</v>
      </c>
      <c r="L18">
        <v>7</v>
      </c>
    </row>
    <row r="19" spans="2:12" x14ac:dyDescent="0.45">
      <c r="B19" t="s">
        <v>100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2:12" x14ac:dyDescent="0.45">
      <c r="B20" t="s">
        <v>101</v>
      </c>
      <c r="C20">
        <v>-51</v>
      </c>
      <c r="D20">
        <v>-28</v>
      </c>
      <c r="E20">
        <v>-13</v>
      </c>
      <c r="F20">
        <v>-36</v>
      </c>
      <c r="G20">
        <v>-53</v>
      </c>
      <c r="H20">
        <v>-112</v>
      </c>
      <c r="I20">
        <v>-236</v>
      </c>
      <c r="J20">
        <v>-150</v>
      </c>
      <c r="K20">
        <v>-25</v>
      </c>
      <c r="L20">
        <v>-125</v>
      </c>
    </row>
    <row r="21" spans="2:12" x14ac:dyDescent="0.45">
      <c r="B21" t="s">
        <v>102</v>
      </c>
      <c r="C21">
        <v>0</v>
      </c>
      <c r="D21">
        <v>0</v>
      </c>
      <c r="E21">
        <v>51</v>
      </c>
      <c r="F21">
        <v>0</v>
      </c>
      <c r="G21">
        <v>30</v>
      </c>
      <c r="H21">
        <v>57</v>
      </c>
      <c r="I21">
        <v>11</v>
      </c>
      <c r="J21">
        <v>9</v>
      </c>
      <c r="K21">
        <v>0</v>
      </c>
      <c r="L21">
        <v>0</v>
      </c>
    </row>
    <row r="22" spans="2:12" x14ac:dyDescent="0.45">
      <c r="B22" t="s">
        <v>103</v>
      </c>
      <c r="C22">
        <v>0</v>
      </c>
      <c r="D22">
        <v>0</v>
      </c>
      <c r="E22">
        <v>0</v>
      </c>
      <c r="F22">
        <v>0</v>
      </c>
      <c r="G22">
        <v>0</v>
      </c>
      <c r="H22">
        <v>-169</v>
      </c>
      <c r="I22">
        <v>-511</v>
      </c>
      <c r="J22">
        <v>-55</v>
      </c>
      <c r="K22" s="32">
        <v>-3859</v>
      </c>
      <c r="L22" s="32">
        <v>-1809</v>
      </c>
    </row>
    <row r="23" spans="2:12" x14ac:dyDescent="0.45">
      <c r="B23" t="s">
        <v>104</v>
      </c>
      <c r="C23">
        <v>73</v>
      </c>
      <c r="D23">
        <v>313</v>
      </c>
      <c r="E23">
        <v>44</v>
      </c>
      <c r="F23">
        <v>44</v>
      </c>
      <c r="G23">
        <v>132</v>
      </c>
      <c r="H23">
        <v>-73</v>
      </c>
      <c r="I23">
        <v>-499</v>
      </c>
      <c r="J23">
        <v>70</v>
      </c>
      <c r="K23">
        <v>232</v>
      </c>
      <c r="L23">
        <v>-144</v>
      </c>
    </row>
    <row r="24" spans="2:12" x14ac:dyDescent="0.45">
      <c r="B24" t="s">
        <v>105</v>
      </c>
      <c r="C24">
        <v>24</v>
      </c>
      <c r="D24">
        <v>-79</v>
      </c>
      <c r="E24">
        <v>-250</v>
      </c>
      <c r="F24">
        <v>222</v>
      </c>
      <c r="G24">
        <v>-481</v>
      </c>
      <c r="H24">
        <v>-467</v>
      </c>
      <c r="I24">
        <v>-61</v>
      </c>
      <c r="J24">
        <v>-160</v>
      </c>
      <c r="K24" s="32">
        <v>1152</v>
      </c>
      <c r="L24">
        <v>99</v>
      </c>
    </row>
    <row r="25" spans="2:12" x14ac:dyDescent="0.45">
      <c r="B25" t="s">
        <v>117</v>
      </c>
      <c r="C25">
        <v>-282</v>
      </c>
      <c r="D25">
        <v>-816</v>
      </c>
      <c r="E25">
        <v>-30</v>
      </c>
      <c r="F25">
        <v>-224</v>
      </c>
      <c r="G25">
        <v>-308</v>
      </c>
      <c r="H25">
        <v>-426</v>
      </c>
      <c r="I25">
        <v>-995</v>
      </c>
      <c r="J25">
        <v>-714</v>
      </c>
      <c r="K25">
        <v>256</v>
      </c>
      <c r="L25">
        <v>453</v>
      </c>
    </row>
    <row r="26" spans="2:12" x14ac:dyDescent="0.45">
      <c r="B26" t="s">
        <v>106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s="32">
        <v>2981</v>
      </c>
    </row>
    <row r="27" spans="2:12" x14ac:dyDescent="0.45">
      <c r="B27" t="s">
        <v>107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2:12" x14ac:dyDescent="0.45">
      <c r="B28" t="s">
        <v>108</v>
      </c>
      <c r="C28">
        <v>0</v>
      </c>
      <c r="D28">
        <v>-398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2:12" x14ac:dyDescent="0.45">
      <c r="B29" t="s">
        <v>109</v>
      </c>
      <c r="C29">
        <v>0</v>
      </c>
      <c r="D29">
        <v>0</v>
      </c>
      <c r="E29">
        <v>216</v>
      </c>
      <c r="F29">
        <v>101</v>
      </c>
      <c r="G29">
        <v>50</v>
      </c>
      <c r="H29">
        <v>12</v>
      </c>
      <c r="I29">
        <v>0</v>
      </c>
      <c r="J29">
        <v>53</v>
      </c>
      <c r="K29" s="32">
        <v>1327</v>
      </c>
      <c r="L29">
        <v>60</v>
      </c>
    </row>
    <row r="30" spans="2:12" x14ac:dyDescent="0.45">
      <c r="B30" t="s">
        <v>110</v>
      </c>
      <c r="C30">
        <v>-80</v>
      </c>
      <c r="D30">
        <v>-87</v>
      </c>
      <c r="E30">
        <v>0</v>
      </c>
      <c r="F30">
        <v>-65</v>
      </c>
      <c r="G30">
        <v>-18</v>
      </c>
      <c r="H30">
        <v>-69</v>
      </c>
      <c r="I30">
        <v>-495</v>
      </c>
      <c r="J30">
        <v>-56</v>
      </c>
      <c r="K30">
        <v>-73</v>
      </c>
      <c r="L30" s="32">
        <v>-1511</v>
      </c>
    </row>
    <row r="31" spans="2:12" x14ac:dyDescent="0.45">
      <c r="B31" t="s">
        <v>111</v>
      </c>
      <c r="C31">
        <v>-66</v>
      </c>
      <c r="D31">
        <v>-61</v>
      </c>
      <c r="E31">
        <v>-28</v>
      </c>
      <c r="F31">
        <v>-44</v>
      </c>
      <c r="G31">
        <v>-70</v>
      </c>
      <c r="H31">
        <v>-65</v>
      </c>
      <c r="I31">
        <v>-63</v>
      </c>
      <c r="J31">
        <v>-82</v>
      </c>
      <c r="K31">
        <v>-118</v>
      </c>
      <c r="L31">
        <v>-261</v>
      </c>
    </row>
    <row r="32" spans="2:12" x14ac:dyDescent="0.45">
      <c r="B32" t="s">
        <v>112</v>
      </c>
      <c r="C32">
        <v>-187</v>
      </c>
      <c r="D32">
        <v>-189</v>
      </c>
      <c r="E32">
        <v>-212</v>
      </c>
      <c r="F32">
        <v>-216</v>
      </c>
      <c r="G32">
        <v>-222</v>
      </c>
      <c r="H32">
        <v>-267</v>
      </c>
      <c r="I32">
        <v>-398</v>
      </c>
      <c r="J32">
        <v>-573</v>
      </c>
      <c r="K32">
        <v>-809</v>
      </c>
      <c r="L32">
        <v>-741</v>
      </c>
    </row>
    <row r="33" spans="2:12" x14ac:dyDescent="0.45">
      <c r="B33" t="s">
        <v>113</v>
      </c>
      <c r="C33">
        <v>0</v>
      </c>
      <c r="D33">
        <v>0</v>
      </c>
      <c r="E33">
        <v>0</v>
      </c>
      <c r="F33">
        <v>0</v>
      </c>
      <c r="G33">
        <v>-49</v>
      </c>
      <c r="H33">
        <v>-45</v>
      </c>
      <c r="I33">
        <v>-53</v>
      </c>
      <c r="J33">
        <v>-56</v>
      </c>
      <c r="K33">
        <v>-71</v>
      </c>
      <c r="L33">
        <v>-75</v>
      </c>
    </row>
    <row r="34" spans="2:12" x14ac:dyDescent="0.45">
      <c r="B34" t="s">
        <v>114</v>
      </c>
      <c r="C34">
        <v>51</v>
      </c>
      <c r="D34">
        <v>-81</v>
      </c>
      <c r="E34">
        <v>-6</v>
      </c>
      <c r="F34">
        <v>0</v>
      </c>
      <c r="G34">
        <v>0</v>
      </c>
      <c r="H34">
        <v>9</v>
      </c>
      <c r="I34">
        <v>13</v>
      </c>
      <c r="J34">
        <v>0</v>
      </c>
      <c r="K34">
        <v>0</v>
      </c>
      <c r="L34">
        <v>0</v>
      </c>
    </row>
    <row r="35" spans="2:12" x14ac:dyDescent="0.45">
      <c r="B35" t="s">
        <v>3</v>
      </c>
      <c r="C35">
        <v>-21</v>
      </c>
      <c r="D35">
        <v>70</v>
      </c>
      <c r="E35">
        <v>294</v>
      </c>
      <c r="F35">
        <v>39</v>
      </c>
      <c r="G35">
        <v>152</v>
      </c>
      <c r="H35">
        <v>884</v>
      </c>
      <c r="I35">
        <v>-796</v>
      </c>
      <c r="J35">
        <v>-87</v>
      </c>
      <c r="K35">
        <v>281</v>
      </c>
      <c r="L35">
        <v>206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0F40-E3AD-42D3-A711-A7DA9BB79ECB}">
  <dimension ref="B3:G8"/>
  <sheetViews>
    <sheetView workbookViewId="0">
      <selection activeCell="F8" sqref="F8"/>
    </sheetView>
  </sheetViews>
  <sheetFormatPr defaultRowHeight="13.8" x14ac:dyDescent="0.45"/>
  <cols>
    <col min="1" max="1" width="1.76171875" customWidth="1"/>
    <col min="3" max="3" width="12.85546875" bestFit="1" customWidth="1"/>
    <col min="4" max="4" width="10.6171875" customWidth="1"/>
    <col min="5" max="5" width="10.28515625" customWidth="1"/>
    <col min="6" max="6" width="10.85546875" customWidth="1"/>
  </cols>
  <sheetData>
    <row r="3" spans="2:7" x14ac:dyDescent="0.45">
      <c r="B3" t="s">
        <v>233</v>
      </c>
      <c r="C3" t="s">
        <v>234</v>
      </c>
      <c r="D3" t="s">
        <v>235</v>
      </c>
      <c r="E3" t="s">
        <v>236</v>
      </c>
      <c r="F3" t="s">
        <v>237</v>
      </c>
      <c r="G3" t="s">
        <v>238</v>
      </c>
    </row>
    <row r="4" spans="2:7" x14ac:dyDescent="0.45">
      <c r="B4">
        <v>1</v>
      </c>
      <c r="C4" t="s">
        <v>232</v>
      </c>
      <c r="D4">
        <v>1050.2</v>
      </c>
      <c r="E4">
        <v>103923.78</v>
      </c>
      <c r="F4">
        <v>2576.11</v>
      </c>
      <c r="G4">
        <v>0.13</v>
      </c>
    </row>
    <row r="5" spans="2:7" x14ac:dyDescent="0.45">
      <c r="B5">
        <v>2</v>
      </c>
      <c r="C5" t="s">
        <v>227</v>
      </c>
      <c r="D5">
        <v>2082.6999999999998</v>
      </c>
      <c r="E5">
        <v>489349.37</v>
      </c>
      <c r="F5">
        <v>1775</v>
      </c>
      <c r="G5">
        <v>0.04</v>
      </c>
    </row>
    <row r="6" spans="2:7" x14ac:dyDescent="0.45">
      <c r="B6">
        <v>3</v>
      </c>
      <c r="C6" t="s">
        <v>228</v>
      </c>
      <c r="D6">
        <v>1291.7</v>
      </c>
      <c r="E6">
        <v>249080.36</v>
      </c>
      <c r="F6">
        <v>476.85</v>
      </c>
      <c r="G6">
        <v>0.1</v>
      </c>
    </row>
    <row r="7" spans="2:7" x14ac:dyDescent="0.45">
      <c r="B7">
        <v>4</v>
      </c>
      <c r="C7" t="s">
        <v>239</v>
      </c>
      <c r="D7">
        <v>6002.5</v>
      </c>
      <c r="E7">
        <v>144581.19</v>
      </c>
      <c r="F7">
        <v>2196.3000000000002</v>
      </c>
      <c r="G7">
        <v>0.59</v>
      </c>
    </row>
    <row r="8" spans="2:7" x14ac:dyDescent="0.45">
      <c r="B8">
        <v>5</v>
      </c>
      <c r="C8" t="s">
        <v>240</v>
      </c>
      <c r="D8">
        <v>518.5</v>
      </c>
      <c r="E8">
        <v>91965.84</v>
      </c>
      <c r="F8">
        <v>1301.43</v>
      </c>
      <c r="G8">
        <v>0.12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8BFF-F7B2-4D89-9F8C-4D42974A6E67}">
  <sheetPr codeName="Sheet8">
    <tabColor rgb="FF002060"/>
  </sheetPr>
  <dimension ref="A1"/>
  <sheetViews>
    <sheetView workbookViewId="0">
      <selection activeCell="H18" sqref="H18"/>
    </sheetView>
  </sheetViews>
  <sheetFormatPr defaultRowHeight="13.8" x14ac:dyDescent="0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13BD-983A-4AEA-B548-0C3E1DD6FA4C}">
  <dimension ref="B2:Q111"/>
  <sheetViews>
    <sheetView showGridLines="0" zoomScaleNormal="100" workbookViewId="0">
      <pane ySplit="2" topLeftCell="A66" activePane="bottomLeft" state="frozen"/>
      <selection pane="bottomLeft" activeCell="P8" sqref="P8"/>
    </sheetView>
  </sheetViews>
  <sheetFormatPr defaultRowHeight="13.8" x14ac:dyDescent="0.45"/>
  <cols>
    <col min="1" max="1" width="1.76171875" customWidth="1"/>
    <col min="2" max="2" width="10.76171875" customWidth="1"/>
    <col min="3" max="3" width="10.90234375" style="43" customWidth="1"/>
    <col min="5" max="5" width="1.80859375" customWidth="1"/>
    <col min="6" max="6" width="10.42578125" style="38" customWidth="1"/>
    <col min="7" max="7" width="9.37890625" style="37" customWidth="1"/>
    <col min="8" max="8" width="1.94921875" customWidth="1"/>
    <col min="12" max="12" width="1.85546875" customWidth="1"/>
  </cols>
  <sheetData>
    <row r="2" spans="2:14" ht="14.1" x14ac:dyDescent="0.5">
      <c r="B2" s="83" t="s">
        <v>167</v>
      </c>
    </row>
    <row r="4" spans="2:14" x14ac:dyDescent="0.45">
      <c r="B4" s="129" t="s">
        <v>168</v>
      </c>
      <c r="C4" s="129"/>
      <c r="D4" s="129"/>
      <c r="E4" s="86"/>
      <c r="F4" s="129" t="s">
        <v>172</v>
      </c>
      <c r="G4" s="129"/>
      <c r="I4" s="129" t="s">
        <v>173</v>
      </c>
      <c r="J4" s="129"/>
    </row>
    <row r="6" spans="2:14" ht="16.2" x14ac:dyDescent="0.65">
      <c r="B6" s="75" t="s">
        <v>169</v>
      </c>
      <c r="C6" s="87" t="s">
        <v>170</v>
      </c>
      <c r="D6" s="87" t="s">
        <v>171</v>
      </c>
      <c r="F6" s="88" t="s">
        <v>170</v>
      </c>
      <c r="G6" s="89" t="s">
        <v>171</v>
      </c>
      <c r="I6" s="93" t="s">
        <v>201</v>
      </c>
      <c r="K6" s="38">
        <f>N8</f>
        <v>0.90141258655566425</v>
      </c>
      <c r="L6" s="38"/>
      <c r="M6" t="s">
        <v>198</v>
      </c>
      <c r="N6" s="38">
        <f>SLOPE(D7:D111,G7:G111)</f>
        <v>0.90141258655566459</v>
      </c>
    </row>
    <row r="7" spans="2:14" ht="16.2" x14ac:dyDescent="0.65">
      <c r="B7" s="84">
        <v>45369</v>
      </c>
      <c r="C7" s="85">
        <v>1106.85888671875</v>
      </c>
      <c r="D7" s="43" t="s">
        <v>61</v>
      </c>
      <c r="F7" s="38">
        <v>22096.75</v>
      </c>
      <c r="G7" s="39" t="s">
        <v>61</v>
      </c>
      <c r="I7" s="93" t="s">
        <v>202</v>
      </c>
      <c r="K7" s="95">
        <v>0.75</v>
      </c>
      <c r="L7" s="95"/>
      <c r="M7" t="s">
        <v>199</v>
      </c>
      <c r="N7" s="38">
        <f>_xlfn.COVARIANCE.S(D7:D111,G7:G111)/_xlfn.VAR.S(G7:G111)</f>
        <v>0.90141258655566492</v>
      </c>
    </row>
    <row r="8" spans="2:14" ht="16.2" x14ac:dyDescent="0.65">
      <c r="B8" s="84">
        <v>45376</v>
      </c>
      <c r="C8" s="85">
        <v>1080.684692382812</v>
      </c>
      <c r="D8" s="37">
        <f>C8/C7-1</f>
        <v>-2.3647273062540553E-2</v>
      </c>
      <c r="F8" s="38">
        <v>22326.900390625</v>
      </c>
      <c r="G8" s="37">
        <f>F8/F7-1</f>
        <v>1.0415576527091019E-2</v>
      </c>
      <c r="I8" s="93"/>
      <c r="M8" t="s">
        <v>200</v>
      </c>
      <c r="N8" s="38">
        <f>J32</f>
        <v>0.90141258655566425</v>
      </c>
    </row>
    <row r="9" spans="2:14" x14ac:dyDescent="0.45">
      <c r="B9" s="84">
        <v>45383</v>
      </c>
      <c r="C9" s="85">
        <v>1099.760864257812</v>
      </c>
      <c r="D9" s="37">
        <f t="shared" ref="D9:D72" si="0">C9/C8-1</f>
        <v>1.7651931233465312E-2</v>
      </c>
      <c r="F9" s="38">
        <v>22513.69921875</v>
      </c>
      <c r="G9" s="37">
        <f t="shared" ref="G9:G72" si="1">F9/F8-1</f>
        <v>8.3665365481468967E-3</v>
      </c>
      <c r="I9" s="93" t="s">
        <v>203</v>
      </c>
      <c r="K9">
        <v>1</v>
      </c>
    </row>
    <row r="10" spans="2:14" x14ac:dyDescent="0.45">
      <c r="B10" s="84">
        <v>45390</v>
      </c>
      <c r="C10" s="85">
        <v>1133.181030273438</v>
      </c>
      <c r="D10" s="37">
        <f t="shared" si="0"/>
        <v>3.0388575463794032E-2</v>
      </c>
      <c r="F10" s="38">
        <v>22519.400390625</v>
      </c>
      <c r="G10" s="37">
        <f t="shared" si="1"/>
        <v>2.5323123577369877E-4</v>
      </c>
      <c r="I10" s="93" t="s">
        <v>204</v>
      </c>
      <c r="K10" s="95">
        <v>0.25</v>
      </c>
      <c r="L10" s="95"/>
    </row>
    <row r="11" spans="2:14" x14ac:dyDescent="0.45">
      <c r="B11" s="84">
        <v>45397</v>
      </c>
      <c r="C11" s="85">
        <v>1121.991577148438</v>
      </c>
      <c r="D11" s="37">
        <f t="shared" si="0"/>
        <v>-9.8743738432507389E-3</v>
      </c>
      <c r="F11" s="38">
        <v>22147</v>
      </c>
      <c r="G11" s="37">
        <f t="shared" si="1"/>
        <v>-1.6536869728557835E-2</v>
      </c>
    </row>
    <row r="12" spans="2:14" x14ac:dyDescent="0.45">
      <c r="B12" s="84">
        <v>45404</v>
      </c>
      <c r="C12" s="85">
        <v>1087.04345703125</v>
      </c>
      <c r="D12" s="37">
        <f t="shared" si="0"/>
        <v>-3.114829097559646E-2</v>
      </c>
      <c r="F12" s="38">
        <v>22419.94921875</v>
      </c>
      <c r="G12" s="37">
        <f t="shared" si="1"/>
        <v>1.2324433049623051E-2</v>
      </c>
      <c r="I12" s="96" t="s">
        <v>205</v>
      </c>
      <c r="J12" s="48"/>
      <c r="K12" s="97">
        <f>(K6*K7)+(K9*K10)</f>
        <v>0.92605943991674822</v>
      </c>
      <c r="L12" s="38"/>
    </row>
    <row r="13" spans="2:14" x14ac:dyDescent="0.45">
      <c r="B13" s="84">
        <v>45411</v>
      </c>
      <c r="C13" s="85">
        <v>1078.811645507812</v>
      </c>
      <c r="D13" s="37">
        <f t="shared" si="0"/>
        <v>-7.5726609365914799E-3</v>
      </c>
      <c r="F13" s="38">
        <v>22475.849609375</v>
      </c>
      <c r="G13" s="37">
        <f t="shared" si="1"/>
        <v>2.4933326155016644E-3</v>
      </c>
    </row>
    <row r="14" spans="2:14" x14ac:dyDescent="0.45">
      <c r="B14" s="84">
        <v>45418</v>
      </c>
      <c r="C14" s="85">
        <v>1075.508911132812</v>
      </c>
      <c r="D14" s="37">
        <f t="shared" si="0"/>
        <v>-3.0614559907214955E-3</v>
      </c>
      <c r="F14" s="38">
        <v>22055.19921875</v>
      </c>
      <c r="G14" s="37">
        <f t="shared" si="1"/>
        <v>-1.8715661384811066E-2</v>
      </c>
    </row>
    <row r="15" spans="2:14" x14ac:dyDescent="0.45">
      <c r="B15" s="84">
        <v>45425</v>
      </c>
      <c r="C15" s="85">
        <v>1079.698852539062</v>
      </c>
      <c r="D15" s="37">
        <f t="shared" si="0"/>
        <v>3.8957756303821256E-3</v>
      </c>
      <c r="F15" s="38">
        <v>22466.099609375</v>
      </c>
      <c r="G15" s="37">
        <f t="shared" si="1"/>
        <v>1.8630545412424926E-2</v>
      </c>
      <c r="I15" t="s">
        <v>174</v>
      </c>
    </row>
    <row r="16" spans="2:14" ht="14.1" thickBot="1" x14ac:dyDescent="0.5">
      <c r="B16" s="84">
        <v>45432</v>
      </c>
      <c r="C16" s="85">
        <v>1082.705688476562</v>
      </c>
      <c r="D16" s="37">
        <f t="shared" si="0"/>
        <v>2.7848838872330806E-3</v>
      </c>
      <c r="F16" s="38">
        <v>22957.099609375</v>
      </c>
      <c r="G16" s="37">
        <f t="shared" si="1"/>
        <v>2.1855151029202657E-2</v>
      </c>
    </row>
    <row r="17" spans="2:17" ht="14.1" x14ac:dyDescent="0.5">
      <c r="B17" s="84">
        <v>45439</v>
      </c>
      <c r="C17" s="85">
        <v>1052.449829101562</v>
      </c>
      <c r="D17" s="37">
        <f t="shared" si="0"/>
        <v>-2.7944675729534518E-2</v>
      </c>
      <c r="F17" s="38">
        <v>22530.69921875</v>
      </c>
      <c r="G17" s="37">
        <f t="shared" si="1"/>
        <v>-1.8573791893592317E-2</v>
      </c>
      <c r="I17" s="92" t="s">
        <v>175</v>
      </c>
      <c r="J17" s="92"/>
    </row>
    <row r="18" spans="2:17" x14ac:dyDescent="0.45">
      <c r="B18" s="84">
        <v>45446</v>
      </c>
      <c r="C18" s="85">
        <v>1127.295166015625</v>
      </c>
      <c r="D18" s="37">
        <f t="shared" si="0"/>
        <v>7.1115349011891427E-2</v>
      </c>
      <c r="F18" s="38">
        <v>23290.150390625</v>
      </c>
      <c r="G18" s="37">
        <f t="shared" si="1"/>
        <v>3.3707394719600492E-2</v>
      </c>
      <c r="I18" t="s">
        <v>176</v>
      </c>
      <c r="J18">
        <v>0.5286840952926406</v>
      </c>
    </row>
    <row r="19" spans="2:17" x14ac:dyDescent="0.45">
      <c r="B19" s="84">
        <v>45453</v>
      </c>
      <c r="C19" s="85">
        <v>1104.265747070312</v>
      </c>
      <c r="D19" s="37">
        <f t="shared" si="0"/>
        <v>-2.0428916613480563E-2</v>
      </c>
      <c r="F19" s="38">
        <v>23465.599609375</v>
      </c>
      <c r="G19" s="37">
        <f t="shared" si="1"/>
        <v>7.5331938955887079E-3</v>
      </c>
      <c r="I19" t="s">
        <v>177</v>
      </c>
      <c r="J19">
        <v>0.27950687261539792</v>
      </c>
    </row>
    <row r="20" spans="2:17" x14ac:dyDescent="0.45">
      <c r="B20" s="84">
        <v>45460</v>
      </c>
      <c r="C20" s="85">
        <v>1076.918579101562</v>
      </c>
      <c r="D20" s="37">
        <f t="shared" si="0"/>
        <v>-2.4765024217498155E-2</v>
      </c>
      <c r="F20" s="38">
        <v>23501.099609375</v>
      </c>
      <c r="G20" s="37">
        <f t="shared" si="1"/>
        <v>1.5128528821319875E-3</v>
      </c>
      <c r="I20" t="s">
        <v>178</v>
      </c>
      <c r="J20">
        <v>0.27244321450378417</v>
      </c>
    </row>
    <row r="21" spans="2:17" x14ac:dyDescent="0.45">
      <c r="B21" s="84">
        <v>45467</v>
      </c>
      <c r="C21" s="85">
        <v>1089.376098632812</v>
      </c>
      <c r="D21" s="37">
        <f t="shared" si="0"/>
        <v>1.1567745020838016E-2</v>
      </c>
      <c r="F21" s="38">
        <v>24010.599609375</v>
      </c>
      <c r="G21" s="37">
        <f t="shared" si="1"/>
        <v>2.1679836623336168E-2</v>
      </c>
      <c r="I21" t="s">
        <v>179</v>
      </c>
      <c r="J21">
        <v>2.6194775841832663E-2</v>
      </c>
    </row>
    <row r="22" spans="2:17" ht="14.1" thickBot="1" x14ac:dyDescent="0.5">
      <c r="B22" s="84">
        <v>45474</v>
      </c>
      <c r="C22" s="85">
        <v>1129.032348632812</v>
      </c>
      <c r="D22" s="37">
        <f t="shared" si="0"/>
        <v>3.6402717160555875E-2</v>
      </c>
      <c r="F22" s="38">
        <v>24323.849609375</v>
      </c>
      <c r="G22" s="37">
        <f t="shared" si="1"/>
        <v>1.3046321420381757E-2</v>
      </c>
      <c r="I22" s="90" t="s">
        <v>180</v>
      </c>
      <c r="J22" s="90">
        <v>104</v>
      </c>
    </row>
    <row r="23" spans="2:17" x14ac:dyDescent="0.45">
      <c r="B23" s="84">
        <v>45481</v>
      </c>
      <c r="C23" s="85">
        <v>1143.773071289062</v>
      </c>
      <c r="D23" s="37">
        <f t="shared" si="0"/>
        <v>1.3056067591066034E-2</v>
      </c>
      <c r="F23" s="38">
        <v>24502.150390625</v>
      </c>
      <c r="G23" s="37">
        <f t="shared" si="1"/>
        <v>7.3302862874664587E-3</v>
      </c>
    </row>
    <row r="24" spans="2:17" ht="14.1" thickBot="1" x14ac:dyDescent="0.5">
      <c r="B24" s="84">
        <v>45488</v>
      </c>
      <c r="C24" s="85">
        <v>1164.782104492188</v>
      </c>
      <c r="D24" s="37">
        <f t="shared" si="0"/>
        <v>1.8368183104230829E-2</v>
      </c>
      <c r="F24" s="38">
        <v>24530.900390625</v>
      </c>
      <c r="G24" s="37">
        <f t="shared" si="1"/>
        <v>1.1733664001589705E-3</v>
      </c>
      <c r="I24" t="s">
        <v>181</v>
      </c>
    </row>
    <row r="25" spans="2:17" ht="14.1" x14ac:dyDescent="0.5">
      <c r="B25" s="84">
        <v>45495</v>
      </c>
      <c r="C25" s="85">
        <v>1204.721313476562</v>
      </c>
      <c r="D25" s="37">
        <f t="shared" si="0"/>
        <v>3.4288996053718046E-2</v>
      </c>
      <c r="F25" s="38">
        <v>24834.849609375</v>
      </c>
      <c r="G25" s="37">
        <f t="shared" si="1"/>
        <v>1.2390463208034497E-2</v>
      </c>
      <c r="I25" s="91"/>
      <c r="J25" s="91" t="s">
        <v>185</v>
      </c>
      <c r="K25" s="91" t="s">
        <v>186</v>
      </c>
      <c r="L25" s="91" t="s">
        <v>187</v>
      </c>
      <c r="M25" s="91" t="s">
        <v>188</v>
      </c>
      <c r="N25" s="91" t="s">
        <v>189</v>
      </c>
    </row>
    <row r="26" spans="2:17" x14ac:dyDescent="0.45">
      <c r="B26" s="84">
        <v>45502</v>
      </c>
      <c r="C26" s="85">
        <v>1184.868530273438</v>
      </c>
      <c r="D26" s="37">
        <f t="shared" si="0"/>
        <v>-1.647914997521982E-2</v>
      </c>
      <c r="F26" s="38">
        <v>24717.69921875</v>
      </c>
      <c r="G26" s="37">
        <f t="shared" si="1"/>
        <v>-4.7171773724281607E-3</v>
      </c>
      <c r="I26" t="s">
        <v>182</v>
      </c>
      <c r="J26">
        <v>1</v>
      </c>
      <c r="K26">
        <v>2.7151397813832551E-2</v>
      </c>
      <c r="L26">
        <v>2.7151397813832551E-2</v>
      </c>
      <c r="M26">
        <v>39.569705696237683</v>
      </c>
      <c r="N26">
        <v>7.9858833155383714E-9</v>
      </c>
    </row>
    <row r="27" spans="2:17" x14ac:dyDescent="0.45">
      <c r="B27" s="84">
        <v>45509</v>
      </c>
      <c r="C27" s="85">
        <v>1177.423706054688</v>
      </c>
      <c r="D27" s="37">
        <f t="shared" si="0"/>
        <v>-6.2832491778914701E-3</v>
      </c>
      <c r="F27" s="38">
        <v>24367.5</v>
      </c>
      <c r="G27" s="37">
        <f t="shared" si="1"/>
        <v>-1.4167953726225035E-2</v>
      </c>
      <c r="I27" t="s">
        <v>183</v>
      </c>
      <c r="J27">
        <v>102</v>
      </c>
      <c r="K27">
        <v>6.9988960703193728E-2</v>
      </c>
      <c r="L27">
        <v>6.8616628140386006E-4</v>
      </c>
    </row>
    <row r="28" spans="2:17" ht="14.1" thickBot="1" x14ac:dyDescent="0.5">
      <c r="B28" s="84">
        <v>45516</v>
      </c>
      <c r="C28" s="85">
        <v>1179.011840820312</v>
      </c>
      <c r="D28" s="37">
        <f t="shared" si="0"/>
        <v>1.3488218025994314E-3</v>
      </c>
      <c r="F28" s="38">
        <v>24541.150390625</v>
      </c>
      <c r="G28" s="37">
        <f t="shared" si="1"/>
        <v>7.126311300913013E-3</v>
      </c>
      <c r="I28" s="90" t="s">
        <v>15</v>
      </c>
      <c r="J28" s="90">
        <v>103</v>
      </c>
      <c r="K28" s="90">
        <v>9.7140358517026279E-2</v>
      </c>
      <c r="L28" s="90"/>
      <c r="M28" s="90"/>
      <c r="N28" s="90"/>
    </row>
    <row r="29" spans="2:17" ht="14.1" thickBot="1" x14ac:dyDescent="0.5">
      <c r="B29" s="84">
        <v>45523</v>
      </c>
      <c r="C29" s="85">
        <v>1187.995361328125</v>
      </c>
      <c r="D29" s="37">
        <f t="shared" si="0"/>
        <v>7.6195337457871659E-3</v>
      </c>
      <c r="F29" s="38">
        <v>24823.150390625</v>
      </c>
      <c r="G29" s="37">
        <f t="shared" si="1"/>
        <v>1.1490903870086111E-2</v>
      </c>
    </row>
    <row r="30" spans="2:17" ht="14.1" x14ac:dyDescent="0.5">
      <c r="B30" s="84">
        <v>45530</v>
      </c>
      <c r="C30" s="85">
        <v>1191.320678710938</v>
      </c>
      <c r="D30" s="37">
        <f t="shared" si="0"/>
        <v>2.799099635452551E-3</v>
      </c>
      <c r="F30" s="38">
        <v>25235.900390625</v>
      </c>
      <c r="G30" s="37">
        <f t="shared" si="1"/>
        <v>1.6627623549180237E-2</v>
      </c>
      <c r="I30" s="91"/>
      <c r="J30" s="91" t="s">
        <v>190</v>
      </c>
      <c r="K30" s="91" t="s">
        <v>179</v>
      </c>
      <c r="L30" s="91" t="s">
        <v>191</v>
      </c>
      <c r="M30" s="91" t="s">
        <v>192</v>
      </c>
      <c r="N30" s="91" t="s">
        <v>193</v>
      </c>
      <c r="O30" s="91" t="s">
        <v>194</v>
      </c>
      <c r="P30" s="91" t="s">
        <v>195</v>
      </c>
      <c r="Q30" s="91" t="s">
        <v>196</v>
      </c>
    </row>
    <row r="31" spans="2:17" x14ac:dyDescent="0.45">
      <c r="B31" s="84">
        <v>45537</v>
      </c>
      <c r="C31" s="85">
        <v>1165.214111328125</v>
      </c>
      <c r="D31" s="37">
        <f t="shared" si="0"/>
        <v>-2.1913971485042483E-2</v>
      </c>
      <c r="F31" s="38">
        <v>24852.150390625</v>
      </c>
      <c r="G31" s="37">
        <f t="shared" si="1"/>
        <v>-1.5206511123437516E-2</v>
      </c>
      <c r="I31" t="s">
        <v>184</v>
      </c>
      <c r="J31">
        <v>-5.7206302964231339E-4</v>
      </c>
      <c r="K31">
        <v>2.5700204906866776E-3</v>
      </c>
      <c r="L31">
        <v>-0.22259084381442626</v>
      </c>
      <c r="M31">
        <v>0.82429907761701093</v>
      </c>
      <c r="N31">
        <v>-5.6696864873287877E-3</v>
      </c>
      <c r="O31">
        <v>4.5255604280441614E-3</v>
      </c>
      <c r="P31">
        <v>-5.6696864873287877E-3</v>
      </c>
      <c r="Q31">
        <v>4.5255604280441614E-3</v>
      </c>
    </row>
    <row r="32" spans="2:17" ht="14.1" thickBot="1" x14ac:dyDescent="0.5">
      <c r="B32" s="84">
        <v>45544</v>
      </c>
      <c r="C32" s="85">
        <v>1201.39599609375</v>
      </c>
      <c r="D32" s="37">
        <f t="shared" si="0"/>
        <v>3.1051704930336266E-2</v>
      </c>
      <c r="F32" s="38">
        <v>25356.5</v>
      </c>
      <c r="G32" s="37">
        <f t="shared" si="1"/>
        <v>2.0294002790408605E-2</v>
      </c>
      <c r="I32" s="90" t="s">
        <v>197</v>
      </c>
      <c r="J32" s="90">
        <v>0.90141258655566425</v>
      </c>
      <c r="K32" s="90">
        <v>0.14329868590992278</v>
      </c>
      <c r="L32" s="90">
        <v>6.2904455880515897</v>
      </c>
      <c r="M32" s="90">
        <v>7.9858833155383152E-9</v>
      </c>
      <c r="N32" s="90">
        <v>0.61718032249504085</v>
      </c>
      <c r="O32" s="90">
        <v>1.1856448506162875</v>
      </c>
      <c r="P32" s="90">
        <v>0.61718032249504085</v>
      </c>
      <c r="Q32" s="90">
        <v>1.1856448506162875</v>
      </c>
    </row>
    <row r="33" spans="2:7" x14ac:dyDescent="0.45">
      <c r="B33" s="84">
        <v>45551</v>
      </c>
      <c r="C33" s="85">
        <v>1207.897705078125</v>
      </c>
      <c r="D33" s="37">
        <f t="shared" si="0"/>
        <v>5.4117951162770961E-3</v>
      </c>
      <c r="F33" s="38">
        <v>25790.94921875</v>
      </c>
      <c r="G33" s="37">
        <f t="shared" si="1"/>
        <v>1.7133643000808441E-2</v>
      </c>
    </row>
    <row r="34" spans="2:7" x14ac:dyDescent="0.45">
      <c r="B34" s="84">
        <v>45558</v>
      </c>
      <c r="C34" s="85">
        <v>1192.710327148438</v>
      </c>
      <c r="D34" s="37">
        <f t="shared" si="0"/>
        <v>-1.2573397453971236E-2</v>
      </c>
      <c r="F34" s="38">
        <v>26178.94921875</v>
      </c>
      <c r="G34" s="37">
        <f t="shared" si="1"/>
        <v>1.5044037220542705E-2</v>
      </c>
    </row>
    <row r="35" spans="2:7" x14ac:dyDescent="0.45">
      <c r="B35" s="84">
        <v>45565</v>
      </c>
      <c r="C35" s="85">
        <v>1122.083862304688</v>
      </c>
      <c r="D35" s="37">
        <f t="shared" si="0"/>
        <v>-5.9215102976936218E-2</v>
      </c>
      <c r="F35" s="38">
        <v>25014.599609375</v>
      </c>
      <c r="G35" s="37">
        <f t="shared" si="1"/>
        <v>-4.4476560141728849E-2</v>
      </c>
    </row>
    <row r="36" spans="2:7" x14ac:dyDescent="0.45">
      <c r="B36" s="84">
        <v>45572</v>
      </c>
      <c r="C36" s="85">
        <v>1104.911010742188</v>
      </c>
      <c r="D36" s="37">
        <f t="shared" si="0"/>
        <v>-1.5304427894745842E-2</v>
      </c>
      <c r="F36" s="38">
        <v>24964.25</v>
      </c>
      <c r="G36" s="37">
        <f t="shared" si="1"/>
        <v>-2.0128089260372795E-3</v>
      </c>
    </row>
    <row r="37" spans="2:7" x14ac:dyDescent="0.45">
      <c r="B37" s="84">
        <v>45579</v>
      </c>
      <c r="C37" s="85">
        <v>1085.20703125</v>
      </c>
      <c r="D37" s="37">
        <f t="shared" si="0"/>
        <v>-1.7833091806146895E-2</v>
      </c>
      <c r="F37" s="38">
        <v>24854.05078125</v>
      </c>
      <c r="G37" s="37">
        <f t="shared" si="1"/>
        <v>-4.4142811720760955E-3</v>
      </c>
    </row>
    <row r="38" spans="2:7" x14ac:dyDescent="0.45">
      <c r="B38" s="84">
        <v>45586</v>
      </c>
      <c r="C38" s="85">
        <v>965.891357421875</v>
      </c>
      <c r="D38" s="37">
        <f t="shared" si="0"/>
        <v>-0.10994738367175039</v>
      </c>
      <c r="F38" s="38">
        <v>24180.80078125</v>
      </c>
      <c r="G38" s="37">
        <f t="shared" si="1"/>
        <v>-2.7088139713140946E-2</v>
      </c>
    </row>
    <row r="39" spans="2:7" x14ac:dyDescent="0.45">
      <c r="B39" s="84">
        <v>45593</v>
      </c>
      <c r="C39" s="85">
        <v>996.71295166015625</v>
      </c>
      <c r="D39" s="37">
        <f t="shared" si="0"/>
        <v>3.1910001059072712E-2</v>
      </c>
      <c r="F39" s="38">
        <v>24304.349609375</v>
      </c>
      <c r="G39" s="37">
        <f t="shared" si="1"/>
        <v>5.1093770319137199E-3</v>
      </c>
    </row>
    <row r="40" spans="2:7" x14ac:dyDescent="0.45">
      <c r="B40" s="84">
        <v>45600</v>
      </c>
      <c r="C40" s="85">
        <v>985.64501953125</v>
      </c>
      <c r="D40" s="37">
        <f t="shared" si="0"/>
        <v>-1.1104432936755892E-2</v>
      </c>
      <c r="F40" s="38">
        <v>24148.19921875</v>
      </c>
      <c r="G40" s="37">
        <f t="shared" si="1"/>
        <v>-6.424791987223899E-3</v>
      </c>
    </row>
    <row r="41" spans="2:7" x14ac:dyDescent="0.45">
      <c r="B41" s="84">
        <v>45607</v>
      </c>
      <c r="C41" s="85">
        <v>918.19488525390625</v>
      </c>
      <c r="D41" s="37">
        <f t="shared" si="0"/>
        <v>-6.8432481208520191E-2</v>
      </c>
      <c r="F41" s="38">
        <v>23532.69921875</v>
      </c>
      <c r="G41" s="37">
        <f t="shared" si="1"/>
        <v>-2.5488443027341434E-2</v>
      </c>
    </row>
    <row r="42" spans="2:7" x14ac:dyDescent="0.45">
      <c r="B42" s="84">
        <v>45614</v>
      </c>
      <c r="C42" s="85">
        <v>938.24627685546875</v>
      </c>
      <c r="D42" s="37">
        <f t="shared" si="0"/>
        <v>2.1837838484602079E-2</v>
      </c>
      <c r="F42" s="38">
        <v>23907.25</v>
      </c>
      <c r="G42" s="37">
        <f t="shared" si="1"/>
        <v>1.5916184444815906E-2</v>
      </c>
    </row>
    <row r="43" spans="2:7" x14ac:dyDescent="0.45">
      <c r="B43" s="84">
        <v>45621</v>
      </c>
      <c r="C43" s="85">
        <v>951.59735107421875</v>
      </c>
      <c r="D43" s="37">
        <f t="shared" si="0"/>
        <v>1.4229818490190116E-2</v>
      </c>
      <c r="F43" s="38">
        <v>24131.099609375</v>
      </c>
      <c r="G43" s="37">
        <f t="shared" si="1"/>
        <v>9.3632521254012335E-3</v>
      </c>
    </row>
    <row r="44" spans="2:7" x14ac:dyDescent="0.45">
      <c r="B44" s="84">
        <v>45628</v>
      </c>
      <c r="C44" s="85">
        <v>967.2811279296875</v>
      </c>
      <c r="D44" s="37">
        <f t="shared" si="0"/>
        <v>1.64815263911402E-2</v>
      </c>
      <c r="F44" s="38">
        <v>24677.80078125</v>
      </c>
      <c r="G44" s="37">
        <f t="shared" si="1"/>
        <v>2.2655460411037609E-2</v>
      </c>
    </row>
    <row r="45" spans="2:7" x14ac:dyDescent="0.45">
      <c r="B45" s="84">
        <v>45635</v>
      </c>
      <c r="C45" s="85">
        <v>922.86029052734375</v>
      </c>
      <c r="D45" s="37">
        <f t="shared" si="0"/>
        <v>-4.592339922667521E-2</v>
      </c>
      <c r="F45" s="38">
        <v>24768.30078125</v>
      </c>
      <c r="G45" s="37">
        <f t="shared" si="1"/>
        <v>3.667263578396307E-3</v>
      </c>
    </row>
    <row r="46" spans="2:7" x14ac:dyDescent="0.45">
      <c r="B46" s="84">
        <v>45642</v>
      </c>
      <c r="C46" s="85">
        <v>882.90643310546875</v>
      </c>
      <c r="D46" s="37">
        <f t="shared" si="0"/>
        <v>-4.3293505888138739E-2</v>
      </c>
      <c r="F46" s="38">
        <v>23587.5</v>
      </c>
      <c r="G46" s="37">
        <f t="shared" si="1"/>
        <v>-4.7673871198458895E-2</v>
      </c>
    </row>
    <row r="47" spans="2:7" x14ac:dyDescent="0.45">
      <c r="B47" s="84">
        <v>45649</v>
      </c>
      <c r="C47" s="85">
        <v>901.27032470703125</v>
      </c>
      <c r="D47" s="37">
        <f t="shared" si="0"/>
        <v>2.0799363231470247E-2</v>
      </c>
      <c r="F47" s="38">
        <v>23813.400390625</v>
      </c>
      <c r="G47" s="37">
        <f t="shared" si="1"/>
        <v>9.5771230789614137E-3</v>
      </c>
    </row>
    <row r="48" spans="2:7" x14ac:dyDescent="0.45">
      <c r="B48" s="84">
        <v>45656</v>
      </c>
      <c r="C48" s="85">
        <v>932.53857421875</v>
      </c>
      <c r="D48" s="37">
        <f t="shared" si="0"/>
        <v>3.4693530514147142E-2</v>
      </c>
      <c r="F48" s="38">
        <v>24004.75</v>
      </c>
      <c r="G48" s="37">
        <f t="shared" si="1"/>
        <v>8.0353753028203911E-3</v>
      </c>
    </row>
    <row r="49" spans="2:7" x14ac:dyDescent="0.45">
      <c r="B49" s="84">
        <v>45663</v>
      </c>
      <c r="C49" s="85">
        <v>965.6431884765625</v>
      </c>
      <c r="D49" s="37">
        <f t="shared" si="0"/>
        <v>3.5499458331304412E-2</v>
      </c>
      <c r="F49" s="38">
        <v>23431.5</v>
      </c>
      <c r="G49" s="37">
        <f t="shared" si="1"/>
        <v>-2.3880690280048689E-2</v>
      </c>
    </row>
    <row r="50" spans="2:7" x14ac:dyDescent="0.45">
      <c r="B50" s="84">
        <v>45670</v>
      </c>
      <c r="C50" s="85">
        <v>947.42822265625</v>
      </c>
      <c r="D50" s="37">
        <f t="shared" si="0"/>
        <v>-1.8863039720757646E-2</v>
      </c>
      <c r="F50" s="38">
        <v>23203.19921875</v>
      </c>
      <c r="G50" s="37">
        <f t="shared" si="1"/>
        <v>-9.7433276252053558E-3</v>
      </c>
    </row>
    <row r="51" spans="2:7" x14ac:dyDescent="0.45">
      <c r="B51" s="84">
        <v>45677</v>
      </c>
      <c r="C51" s="85">
        <v>985.04937744140625</v>
      </c>
      <c r="D51" s="37">
        <f t="shared" si="0"/>
        <v>3.970871237050555E-2</v>
      </c>
      <c r="F51" s="38">
        <v>23092.19921875</v>
      </c>
      <c r="G51" s="37">
        <f t="shared" si="1"/>
        <v>-4.7838230820473893E-3</v>
      </c>
    </row>
    <row r="52" spans="2:7" x14ac:dyDescent="0.45">
      <c r="B52" s="84">
        <v>45684</v>
      </c>
      <c r="C52" s="85">
        <v>1061.979248046875</v>
      </c>
      <c r="D52" s="37">
        <f t="shared" si="0"/>
        <v>7.8097476499389806E-2</v>
      </c>
      <c r="F52" s="38">
        <v>23482.150390625</v>
      </c>
      <c r="G52" s="37">
        <f t="shared" si="1"/>
        <v>1.688670568710382E-2</v>
      </c>
    </row>
    <row r="53" spans="2:7" x14ac:dyDescent="0.45">
      <c r="B53" s="84">
        <v>45691</v>
      </c>
      <c r="C53" s="85">
        <v>1013.687133789062</v>
      </c>
      <c r="D53" s="37">
        <f t="shared" si="0"/>
        <v>-4.5473689195555167E-2</v>
      </c>
      <c r="F53" s="38">
        <v>23559.94921875</v>
      </c>
      <c r="G53" s="37">
        <f t="shared" si="1"/>
        <v>3.313104925691146E-3</v>
      </c>
    </row>
    <row r="54" spans="2:7" x14ac:dyDescent="0.45">
      <c r="B54" s="84">
        <v>45698</v>
      </c>
      <c r="C54" s="85">
        <v>1015.027221679688</v>
      </c>
      <c r="D54" s="37">
        <f t="shared" si="0"/>
        <v>1.321993587525272E-3</v>
      </c>
      <c r="F54" s="38">
        <v>22929.25</v>
      </c>
      <c r="G54" s="37">
        <f t="shared" si="1"/>
        <v>-2.6769973606227571E-2</v>
      </c>
    </row>
    <row r="55" spans="2:7" x14ac:dyDescent="0.45">
      <c r="B55" s="84">
        <v>45705</v>
      </c>
      <c r="C55" s="85">
        <v>996.61370849609375</v>
      </c>
      <c r="D55" s="37">
        <f t="shared" si="0"/>
        <v>-1.8140905771101501E-2</v>
      </c>
      <c r="F55" s="38">
        <v>22795.900390625</v>
      </c>
      <c r="G55" s="37">
        <f t="shared" si="1"/>
        <v>-5.8156986981693359E-3</v>
      </c>
    </row>
    <row r="56" spans="2:7" x14ac:dyDescent="0.45">
      <c r="B56" s="84">
        <v>45712</v>
      </c>
      <c r="C56" s="85">
        <v>956.61016845703125</v>
      </c>
      <c r="D56" s="37">
        <f t="shared" si="0"/>
        <v>-4.0139463964858013E-2</v>
      </c>
      <c r="F56" s="38">
        <v>22124.69921875</v>
      </c>
      <c r="G56" s="37">
        <f t="shared" si="1"/>
        <v>-2.9443942128780209E-2</v>
      </c>
    </row>
    <row r="57" spans="2:7" x14ac:dyDescent="0.45">
      <c r="B57" s="84">
        <v>45719</v>
      </c>
      <c r="C57" s="85">
        <v>954.9722900390625</v>
      </c>
      <c r="D57" s="37">
        <f t="shared" si="0"/>
        <v>-1.7121691489131452E-3</v>
      </c>
      <c r="F57" s="38">
        <v>22552.5</v>
      </c>
      <c r="G57" s="37">
        <f t="shared" si="1"/>
        <v>1.9335891395416249E-2</v>
      </c>
    </row>
    <row r="58" spans="2:7" x14ac:dyDescent="0.45">
      <c r="B58" s="84">
        <v>45726</v>
      </c>
      <c r="C58" s="85">
        <v>939.1396484375</v>
      </c>
      <c r="D58" s="37">
        <f t="shared" si="0"/>
        <v>-1.6579163360766036E-2</v>
      </c>
      <c r="F58" s="38">
        <v>22397.19921875</v>
      </c>
      <c r="G58" s="37">
        <f t="shared" si="1"/>
        <v>-6.8861891697150623E-3</v>
      </c>
    </row>
    <row r="59" spans="2:7" x14ac:dyDescent="0.45">
      <c r="B59" s="84">
        <v>45733</v>
      </c>
      <c r="C59" s="85">
        <v>954.12860107421875</v>
      </c>
      <c r="D59" s="37">
        <f t="shared" si="0"/>
        <v>1.5960302242224333E-2</v>
      </c>
      <c r="F59" s="38">
        <v>23350.400390625</v>
      </c>
      <c r="G59" s="37">
        <f t="shared" si="1"/>
        <v>4.2558945096895062E-2</v>
      </c>
    </row>
    <row r="60" spans="2:7" x14ac:dyDescent="0.45">
      <c r="B60" s="84">
        <v>45740</v>
      </c>
      <c r="C60" s="85">
        <v>994.5291748046875</v>
      </c>
      <c r="D60" s="37">
        <f t="shared" si="0"/>
        <v>4.2342901874006467E-2</v>
      </c>
      <c r="F60" s="38">
        <v>23519.349609375</v>
      </c>
      <c r="G60" s="37">
        <f t="shared" si="1"/>
        <v>7.2353885125597817E-3</v>
      </c>
    </row>
    <row r="61" spans="2:7" x14ac:dyDescent="0.45">
      <c r="B61" s="84">
        <v>45747</v>
      </c>
      <c r="C61" s="85">
        <v>1079.846801757812</v>
      </c>
      <c r="D61" s="37">
        <f t="shared" si="0"/>
        <v>8.5786952373599012E-2</v>
      </c>
      <c r="F61" s="38">
        <v>22904.44921875</v>
      </c>
      <c r="G61" s="37">
        <f t="shared" si="1"/>
        <v>-2.6144447054772924E-2</v>
      </c>
    </row>
    <row r="62" spans="2:7" x14ac:dyDescent="0.45">
      <c r="B62" s="84">
        <v>45754</v>
      </c>
      <c r="C62" s="85">
        <v>1089.822875976562</v>
      </c>
      <c r="D62" s="37">
        <f t="shared" si="0"/>
        <v>9.2384162295156003E-3</v>
      </c>
      <c r="F62" s="38">
        <v>22828.55078125</v>
      </c>
      <c r="G62" s="37">
        <f t="shared" si="1"/>
        <v>-3.3136984336592512E-3</v>
      </c>
    </row>
    <row r="63" spans="2:7" x14ac:dyDescent="0.45">
      <c r="B63" s="84">
        <v>45761</v>
      </c>
      <c r="C63" s="85">
        <v>1111.958740234375</v>
      </c>
      <c r="D63" s="37">
        <f t="shared" si="0"/>
        <v>2.0311432936271911E-2</v>
      </c>
      <c r="F63" s="38">
        <v>23851.650390625</v>
      </c>
      <c r="G63" s="37">
        <f t="shared" si="1"/>
        <v>4.4816669230502093E-2</v>
      </c>
    </row>
    <row r="64" spans="2:7" x14ac:dyDescent="0.45">
      <c r="B64" s="84">
        <v>45768</v>
      </c>
      <c r="C64" s="85">
        <v>1147.197631835938</v>
      </c>
      <c r="D64" s="37">
        <f t="shared" si="0"/>
        <v>3.1690826580611731E-2</v>
      </c>
      <c r="F64" s="38">
        <v>24039.349609375</v>
      </c>
      <c r="G64" s="37">
        <f t="shared" si="1"/>
        <v>7.8694436517390276E-3</v>
      </c>
    </row>
    <row r="65" spans="2:7" x14ac:dyDescent="0.45">
      <c r="B65" s="84">
        <v>45775</v>
      </c>
      <c r="C65" s="85">
        <v>1146.204956054688</v>
      </c>
      <c r="D65" s="37">
        <f t="shared" si="0"/>
        <v>-8.6530494284697834E-4</v>
      </c>
      <c r="F65" s="38">
        <v>24346.69921875</v>
      </c>
      <c r="G65" s="37">
        <f t="shared" si="1"/>
        <v>1.2785271414129218E-2</v>
      </c>
    </row>
    <row r="66" spans="2:7" x14ac:dyDescent="0.45">
      <c r="B66" s="84">
        <v>45782</v>
      </c>
      <c r="C66" s="85">
        <v>1105.506591796875</v>
      </c>
      <c r="D66" s="37">
        <f t="shared" si="0"/>
        <v>-3.5507056606960963E-2</v>
      </c>
      <c r="F66" s="38">
        <v>24008</v>
      </c>
      <c r="G66" s="37">
        <f t="shared" si="1"/>
        <v>-1.391150462355728E-2</v>
      </c>
    </row>
    <row r="67" spans="2:7" x14ac:dyDescent="0.45">
      <c r="B67" s="84">
        <v>45789</v>
      </c>
      <c r="C67" s="85">
        <v>1159.407104492188</v>
      </c>
      <c r="D67" s="37">
        <f t="shared" si="0"/>
        <v>4.8756391952130995E-2</v>
      </c>
      <c r="F67" s="38">
        <v>25019.80078125</v>
      </c>
      <c r="G67" s="37">
        <f t="shared" si="1"/>
        <v>4.2144317779490237E-2</v>
      </c>
    </row>
    <row r="68" spans="2:7" x14ac:dyDescent="0.45">
      <c r="B68" s="84">
        <v>45796</v>
      </c>
      <c r="C68" s="85">
        <v>1132.407348632812</v>
      </c>
      <c r="D68" s="37">
        <f t="shared" si="0"/>
        <v>-2.3287554263523025E-2</v>
      </c>
      <c r="F68" s="38">
        <v>24853.150390625</v>
      </c>
      <c r="G68" s="37">
        <f t="shared" si="1"/>
        <v>-6.6607401106841824E-3</v>
      </c>
    </row>
    <row r="69" spans="2:7" x14ac:dyDescent="0.45">
      <c r="B69" s="84">
        <v>45803</v>
      </c>
      <c r="C69" s="85">
        <v>1098.1611328125</v>
      </c>
      <c r="D69" s="37">
        <f t="shared" si="0"/>
        <v>-3.0241958303836913E-2</v>
      </c>
      <c r="F69" s="38">
        <v>24750.69921875</v>
      </c>
      <c r="G69" s="37">
        <f t="shared" si="1"/>
        <v>-4.1222609715364511E-3</v>
      </c>
    </row>
    <row r="70" spans="2:7" x14ac:dyDescent="0.45">
      <c r="B70" s="84">
        <v>45810</v>
      </c>
      <c r="C70" s="85">
        <v>1115.599975585938</v>
      </c>
      <c r="D70" s="37">
        <f t="shared" si="0"/>
        <v>1.5880040052751898E-2</v>
      </c>
      <c r="F70" s="38">
        <v>25003.05078125</v>
      </c>
      <c r="G70" s="37">
        <f t="shared" si="1"/>
        <v>1.0195734684894431E-2</v>
      </c>
    </row>
    <row r="71" spans="2:7" x14ac:dyDescent="0.45">
      <c r="B71" s="84">
        <v>45817</v>
      </c>
      <c r="C71" s="85">
        <v>1078.400024414062</v>
      </c>
      <c r="D71" s="37">
        <f t="shared" si="0"/>
        <v>-3.3345242009652831E-2</v>
      </c>
      <c r="F71" s="38">
        <v>24718.599609375</v>
      </c>
      <c r="G71" s="37">
        <f t="shared" si="1"/>
        <v>-1.1376658567134212E-2</v>
      </c>
    </row>
    <row r="72" spans="2:7" x14ac:dyDescent="0.45">
      <c r="B72" s="84">
        <v>45824</v>
      </c>
      <c r="C72" s="85">
        <v>1100.199951171875</v>
      </c>
      <c r="D72" s="37">
        <f t="shared" si="0"/>
        <v>2.0215065156047096E-2</v>
      </c>
      <c r="F72" s="38">
        <v>25112.400390625</v>
      </c>
      <c r="G72" s="37">
        <f t="shared" si="1"/>
        <v>1.5931354828881306E-2</v>
      </c>
    </row>
    <row r="73" spans="2:7" x14ac:dyDescent="0.45">
      <c r="B73" s="84">
        <v>45831</v>
      </c>
      <c r="C73" s="85">
        <v>1124.300048828125</v>
      </c>
      <c r="D73" s="37">
        <f t="shared" ref="D73:D111" si="2">C73/C72-1</f>
        <v>2.1905197896600281E-2</v>
      </c>
      <c r="F73" s="38">
        <v>25637.80078125</v>
      </c>
      <c r="G73" s="37">
        <f t="shared" ref="G73:G111" si="3">F73/F72-1</f>
        <v>2.092195020995069E-2</v>
      </c>
    </row>
    <row r="74" spans="2:7" x14ac:dyDescent="0.45">
      <c r="B74" s="84">
        <v>45838</v>
      </c>
      <c r="C74" s="85">
        <v>1089.699951171875</v>
      </c>
      <c r="D74" s="37">
        <f t="shared" si="2"/>
        <v>-3.0774789783487244E-2</v>
      </c>
      <c r="F74" s="38">
        <v>25461</v>
      </c>
      <c r="G74" s="37">
        <f t="shared" si="3"/>
        <v>-6.896097787736255E-3</v>
      </c>
    </row>
    <row r="75" spans="2:7" x14ac:dyDescent="0.45">
      <c r="B75" s="84">
        <v>45845</v>
      </c>
      <c r="C75" s="85">
        <v>1076.800048828125</v>
      </c>
      <c r="D75" s="37">
        <f t="shared" si="2"/>
        <v>-1.1838031496539281E-2</v>
      </c>
      <c r="F75" s="38">
        <v>25149.849609375</v>
      </c>
      <c r="G75" s="37">
        <f t="shared" si="3"/>
        <v>-1.2220666534111024E-2</v>
      </c>
    </row>
    <row r="76" spans="2:7" x14ac:dyDescent="0.45">
      <c r="B76" s="84">
        <v>45852</v>
      </c>
      <c r="C76" s="85">
        <v>1095.900024414062</v>
      </c>
      <c r="D76" s="37">
        <f t="shared" si="2"/>
        <v>1.7737717979046774E-2</v>
      </c>
      <c r="F76" s="38">
        <v>24968.400390625</v>
      </c>
      <c r="G76" s="37">
        <f t="shared" si="3"/>
        <v>-7.2147238082235221E-3</v>
      </c>
    </row>
    <row r="77" spans="2:7" x14ac:dyDescent="0.45">
      <c r="B77" s="84">
        <v>45859</v>
      </c>
      <c r="C77" s="85">
        <v>1054.400024414062</v>
      </c>
      <c r="D77" s="37">
        <f t="shared" si="2"/>
        <v>-3.7868417807717991E-2</v>
      </c>
      <c r="F77" s="38">
        <v>24837</v>
      </c>
      <c r="G77" s="37">
        <f t="shared" si="3"/>
        <v>-5.2626675545597301E-3</v>
      </c>
    </row>
    <row r="78" spans="2:7" x14ac:dyDescent="0.45">
      <c r="B78" s="84">
        <v>45866</v>
      </c>
      <c r="C78" s="85">
        <v>1070.400024414062</v>
      </c>
      <c r="D78" s="37">
        <f t="shared" si="2"/>
        <v>1.5174506477170668E-2</v>
      </c>
      <c r="F78" s="38">
        <v>24565.349609375</v>
      </c>
      <c r="G78" s="37">
        <f t="shared" si="3"/>
        <v>-1.0937326997020547E-2</v>
      </c>
    </row>
    <row r="79" spans="2:7" x14ac:dyDescent="0.45">
      <c r="B79" s="84">
        <v>45873</v>
      </c>
      <c r="C79" s="85">
        <v>1051</v>
      </c>
      <c r="D79" s="37">
        <f t="shared" si="2"/>
        <v>-1.8124088164778951E-2</v>
      </c>
      <c r="F79" s="38">
        <v>24363.30078125</v>
      </c>
      <c r="G79" s="37">
        <f t="shared" si="3"/>
        <v>-8.2249522737462E-3</v>
      </c>
    </row>
    <row r="80" spans="2:7" x14ac:dyDescent="0.45">
      <c r="B80" s="84">
        <v>45880</v>
      </c>
      <c r="C80" s="85">
        <v>1051.199951171875</v>
      </c>
      <c r="D80" s="37">
        <f t="shared" si="2"/>
        <v>1.9024849845394876E-4</v>
      </c>
      <c r="F80" s="38">
        <v>24631.30078125</v>
      </c>
      <c r="G80" s="37">
        <f t="shared" si="3"/>
        <v>1.1000151515029977E-2</v>
      </c>
    </row>
    <row r="81" spans="2:7" x14ac:dyDescent="0.45">
      <c r="B81" s="84">
        <v>45887</v>
      </c>
      <c r="C81" s="85">
        <v>1084.099975585938</v>
      </c>
      <c r="D81" s="37">
        <f t="shared" si="2"/>
        <v>3.1297589366690914E-2</v>
      </c>
      <c r="F81" s="38">
        <v>24870.099609375</v>
      </c>
      <c r="G81" s="37">
        <f t="shared" si="3"/>
        <v>9.6949337043044093E-3</v>
      </c>
    </row>
    <row r="82" spans="2:7" x14ac:dyDescent="0.45">
      <c r="B82" s="84">
        <v>45894</v>
      </c>
      <c r="C82" s="85">
        <v>1065.400024414062</v>
      </c>
      <c r="D82" s="37">
        <f t="shared" si="2"/>
        <v>-1.7249286590721447E-2</v>
      </c>
      <c r="F82" s="38">
        <v>24426.849609375</v>
      </c>
      <c r="G82" s="37">
        <f t="shared" si="3"/>
        <v>-1.7822606542070796E-2</v>
      </c>
    </row>
    <row r="83" spans="2:7" x14ac:dyDescent="0.45">
      <c r="B83" s="84">
        <v>45901</v>
      </c>
      <c r="C83" s="85">
        <v>1072.400024414062</v>
      </c>
      <c r="D83" s="37">
        <f t="shared" si="2"/>
        <v>6.5703020833416392E-3</v>
      </c>
      <c r="F83" s="38">
        <v>24741</v>
      </c>
      <c r="G83" s="37">
        <f t="shared" si="3"/>
        <v>1.2860863993874538E-2</v>
      </c>
    </row>
    <row r="84" spans="2:7" x14ac:dyDescent="0.45">
      <c r="B84" s="84">
        <v>45908</v>
      </c>
      <c r="C84" s="85">
        <v>1103.900024414062</v>
      </c>
      <c r="D84" s="37">
        <f t="shared" si="2"/>
        <v>2.9373367477505408E-2</v>
      </c>
      <c r="F84" s="38">
        <v>25114</v>
      </c>
      <c r="G84" s="37">
        <f t="shared" si="3"/>
        <v>1.5076189321369338E-2</v>
      </c>
    </row>
    <row r="85" spans="2:7" x14ac:dyDescent="0.45">
      <c r="B85" s="84">
        <v>45915</v>
      </c>
      <c r="C85" s="85">
        <v>1126.800048828125</v>
      </c>
      <c r="D85" s="37">
        <f t="shared" si="2"/>
        <v>2.0744654323400447E-2</v>
      </c>
      <c r="F85" s="38">
        <v>25327.05078125</v>
      </c>
      <c r="G85" s="37">
        <f t="shared" si="3"/>
        <v>8.483347186827972E-3</v>
      </c>
    </row>
    <row r="86" spans="2:7" x14ac:dyDescent="0.45">
      <c r="B86" s="84">
        <v>45922</v>
      </c>
      <c r="C86" s="85">
        <v>1119</v>
      </c>
      <c r="D86" s="37">
        <f t="shared" si="2"/>
        <v>-6.9223007544568782E-3</v>
      </c>
      <c r="F86" s="38">
        <v>24654.69921875</v>
      </c>
      <c r="G86" s="37">
        <f t="shared" si="3"/>
        <v>-2.6546776737138011E-2</v>
      </c>
    </row>
    <row r="87" spans="2:7" x14ac:dyDescent="0.45">
      <c r="B87" s="84">
        <v>45929</v>
      </c>
      <c r="C87" s="85">
        <v>1137.5</v>
      </c>
      <c r="D87" s="37">
        <f t="shared" si="2"/>
        <v>1.6532618409293987E-2</v>
      </c>
      <c r="F87" s="38">
        <v>24894.25</v>
      </c>
      <c r="G87" s="37">
        <f t="shared" si="3"/>
        <v>9.7162321521173656E-3</v>
      </c>
    </row>
    <row r="88" spans="2:7" x14ac:dyDescent="0.45">
      <c r="B88" s="84">
        <v>45936</v>
      </c>
      <c r="C88" s="85">
        <v>1126.5</v>
      </c>
      <c r="D88" s="37">
        <f t="shared" si="2"/>
        <v>-9.6703296703296582E-3</v>
      </c>
      <c r="F88" s="38">
        <v>25285.349609375</v>
      </c>
      <c r="G88" s="37">
        <f t="shared" si="3"/>
        <v>1.5710439534229792E-2</v>
      </c>
    </row>
    <row r="89" spans="2:7" x14ac:dyDescent="0.45">
      <c r="B89" s="84">
        <v>45943</v>
      </c>
      <c r="C89" s="85">
        <v>1166</v>
      </c>
      <c r="D89" s="37">
        <f t="shared" si="2"/>
        <v>3.5064358632933779E-2</v>
      </c>
      <c r="F89" s="38">
        <v>25709.849609375</v>
      </c>
      <c r="G89" s="37">
        <f t="shared" si="3"/>
        <v>1.6788377719033409E-2</v>
      </c>
    </row>
    <row r="90" spans="2:7" x14ac:dyDescent="0.45">
      <c r="B90" s="84">
        <v>45950</v>
      </c>
      <c r="C90" s="85">
        <v>1155.300048828125</v>
      </c>
      <c r="D90" s="37">
        <f t="shared" si="2"/>
        <v>-9.1766305076115273E-3</v>
      </c>
      <c r="F90" s="38">
        <v>25795.150390625</v>
      </c>
      <c r="G90" s="37">
        <f t="shared" si="3"/>
        <v>3.3178249793766046E-3</v>
      </c>
    </row>
    <row r="91" spans="2:7" x14ac:dyDescent="0.45">
      <c r="B91" s="84">
        <v>45957</v>
      </c>
      <c r="C91" s="85">
        <v>1165</v>
      </c>
      <c r="D91" s="37">
        <f t="shared" si="2"/>
        <v>8.3960449769859835E-3</v>
      </c>
      <c r="F91" s="38">
        <v>25722.099609375</v>
      </c>
      <c r="G91" s="37">
        <f t="shared" si="3"/>
        <v>-2.8319579511562054E-3</v>
      </c>
    </row>
    <row r="92" spans="2:7" x14ac:dyDescent="0.45">
      <c r="B92" s="84">
        <v>45964</v>
      </c>
      <c r="C92" s="85">
        <v>1167.199951171875</v>
      </c>
      <c r="D92" s="37">
        <f t="shared" si="2"/>
        <v>1.8883701046137347E-3</v>
      </c>
      <c r="F92" s="38">
        <v>25492.30078125</v>
      </c>
      <c r="G92" s="37">
        <f t="shared" si="3"/>
        <v>-8.9339063146013364E-3</v>
      </c>
    </row>
    <row r="93" spans="2:7" x14ac:dyDescent="0.45">
      <c r="B93" s="84">
        <v>45971</v>
      </c>
      <c r="C93" s="85">
        <v>1157.800048828125</v>
      </c>
      <c r="D93" s="37">
        <f t="shared" si="2"/>
        <v>-8.0533779446378961E-3</v>
      </c>
      <c r="F93" s="38">
        <v>25910.05078125</v>
      </c>
      <c r="G93" s="37">
        <f t="shared" si="3"/>
        <v>1.6387300761305124E-2</v>
      </c>
    </row>
    <row r="94" spans="2:7" x14ac:dyDescent="0.45">
      <c r="B94" s="84">
        <v>45978</v>
      </c>
      <c r="C94" s="85">
        <v>1183.099975585938</v>
      </c>
      <c r="D94" s="37">
        <f t="shared" si="2"/>
        <v>2.185172369220445E-2</v>
      </c>
      <c r="F94" s="38">
        <v>26068.150390625</v>
      </c>
      <c r="G94" s="37">
        <f t="shared" si="3"/>
        <v>6.1018641263879125E-3</v>
      </c>
    </row>
    <row r="95" spans="2:7" x14ac:dyDescent="0.45">
      <c r="B95" s="84">
        <v>45985</v>
      </c>
      <c r="C95" s="85">
        <v>1172.400024414062</v>
      </c>
      <c r="D95" s="37">
        <f t="shared" si="2"/>
        <v>-9.0439957676244909E-3</v>
      </c>
      <c r="F95" s="38">
        <v>26202.94921875</v>
      </c>
      <c r="G95" s="37">
        <f t="shared" si="3"/>
        <v>5.1710162057940767E-3</v>
      </c>
    </row>
    <row r="96" spans="2:7" x14ac:dyDescent="0.45">
      <c r="B96" s="84">
        <v>45992</v>
      </c>
      <c r="C96" s="85">
        <v>1162.900024414062</v>
      </c>
      <c r="D96" s="37">
        <f t="shared" si="2"/>
        <v>-8.1030363375741432E-3</v>
      </c>
      <c r="F96" s="38">
        <v>26186.44921875</v>
      </c>
      <c r="G96" s="37">
        <f t="shared" si="3"/>
        <v>-6.2970010979501723E-4</v>
      </c>
    </row>
    <row r="97" spans="2:7" x14ac:dyDescent="0.45">
      <c r="B97" s="84">
        <v>45999</v>
      </c>
      <c r="C97" s="85">
        <v>1149.300048828125</v>
      </c>
      <c r="D97" s="37">
        <f t="shared" si="2"/>
        <v>-1.1694879439691719E-2</v>
      </c>
      <c r="F97" s="38">
        <v>26046.94921875</v>
      </c>
      <c r="G97" s="37">
        <f t="shared" si="3"/>
        <v>-5.3271827285432671E-3</v>
      </c>
    </row>
    <row r="98" spans="2:7" x14ac:dyDescent="0.45">
      <c r="B98" s="84">
        <v>46006</v>
      </c>
      <c r="C98" s="85">
        <v>1184</v>
      </c>
      <c r="D98" s="37">
        <f t="shared" si="2"/>
        <v>3.0192247191894284E-2</v>
      </c>
      <c r="F98" s="38">
        <v>25966.400390625</v>
      </c>
      <c r="G98" s="37">
        <f t="shared" si="3"/>
        <v>-3.0924476969846904E-3</v>
      </c>
    </row>
    <row r="99" spans="2:7" x14ac:dyDescent="0.45">
      <c r="B99" s="84">
        <v>46013</v>
      </c>
      <c r="C99" s="85">
        <v>1175.699951171875</v>
      </c>
      <c r="D99" s="37">
        <f t="shared" si="2"/>
        <v>-7.0101763751055923E-3</v>
      </c>
      <c r="F99" s="38">
        <v>26042.30078125</v>
      </c>
      <c r="G99" s="37">
        <f t="shared" si="3"/>
        <v>2.9230231947130481E-3</v>
      </c>
    </row>
    <row r="100" spans="2:7" x14ac:dyDescent="0.45">
      <c r="B100" s="84">
        <v>46020</v>
      </c>
      <c r="C100" s="85">
        <v>1170.699951171875</v>
      </c>
      <c r="D100" s="37">
        <f t="shared" si="2"/>
        <v>-4.2527857511742706E-3</v>
      </c>
      <c r="F100" s="38">
        <v>26328.55078125</v>
      </c>
      <c r="G100" s="37">
        <f t="shared" si="3"/>
        <v>1.099173235131734E-2</v>
      </c>
    </row>
    <row r="101" spans="2:7" x14ac:dyDescent="0.45">
      <c r="B101" s="84">
        <v>46027</v>
      </c>
      <c r="C101" s="85">
        <v>1175.900024414062</v>
      </c>
      <c r="D101" s="37">
        <f t="shared" si="2"/>
        <v>4.4418497130556123E-3</v>
      </c>
      <c r="F101" s="38">
        <v>25683.30078125</v>
      </c>
      <c r="G101" s="37">
        <f t="shared" si="3"/>
        <v>-2.4507615529659854E-2</v>
      </c>
    </row>
    <row r="102" spans="2:7" x14ac:dyDescent="0.45">
      <c r="B102" s="84">
        <v>46034</v>
      </c>
      <c r="C102" s="85">
        <v>1189.099975585938</v>
      </c>
      <c r="D102" s="37">
        <f t="shared" si="2"/>
        <v>1.1225402583398436E-2</v>
      </c>
      <c r="F102" s="38">
        <v>25694.349609375</v>
      </c>
      <c r="G102" s="37">
        <f t="shared" si="3"/>
        <v>4.3019502123597952E-4</v>
      </c>
    </row>
    <row r="103" spans="2:7" x14ac:dyDescent="0.45">
      <c r="B103" s="84">
        <v>46041</v>
      </c>
      <c r="C103" s="85">
        <v>1153.5</v>
      </c>
      <c r="D103" s="37">
        <f t="shared" si="2"/>
        <v>-2.9938589115179992E-2</v>
      </c>
      <c r="F103" s="38">
        <v>25048.650390625</v>
      </c>
      <c r="G103" s="37">
        <f t="shared" si="3"/>
        <v>-2.5130008292344796E-2</v>
      </c>
    </row>
    <row r="104" spans="2:7" x14ac:dyDescent="0.45">
      <c r="B104" s="84">
        <v>46048</v>
      </c>
      <c r="C104" s="85">
        <v>1087.300048828125</v>
      </c>
      <c r="D104" s="37">
        <f t="shared" si="2"/>
        <v>-5.7390508168075449E-2</v>
      </c>
      <c r="F104" s="38">
        <v>24825.44921875</v>
      </c>
      <c r="G104" s="37">
        <f t="shared" si="3"/>
        <v>-8.9107065009194075E-3</v>
      </c>
    </row>
    <row r="105" spans="2:7" x14ac:dyDescent="0.45">
      <c r="B105" s="84">
        <v>46055</v>
      </c>
      <c r="C105" s="85">
        <v>1159.300048828125</v>
      </c>
      <c r="D105" s="37">
        <f t="shared" si="2"/>
        <v>6.621907179862685E-2</v>
      </c>
      <c r="F105" s="38">
        <v>25693.69921875</v>
      </c>
      <c r="G105" s="37">
        <f t="shared" si="3"/>
        <v>3.4974190893763746E-2</v>
      </c>
    </row>
    <row r="106" spans="2:7" x14ac:dyDescent="0.45">
      <c r="B106" s="84">
        <v>46062</v>
      </c>
      <c r="C106" s="85">
        <v>1132.199951171875</v>
      </c>
      <c r="D106" s="37">
        <f t="shared" si="2"/>
        <v>-2.3376258530864447E-2</v>
      </c>
      <c r="F106" s="38">
        <v>25471.099609375</v>
      </c>
      <c r="G106" s="37">
        <f t="shared" si="3"/>
        <v>-8.6635874219527231E-3</v>
      </c>
    </row>
    <row r="107" spans="2:7" x14ac:dyDescent="0.45">
      <c r="B107" s="84">
        <v>46069</v>
      </c>
      <c r="C107" s="85">
        <v>1156.199951171875</v>
      </c>
      <c r="D107" s="37">
        <f t="shared" si="2"/>
        <v>2.1197669170678779E-2</v>
      </c>
      <c r="F107" s="38">
        <v>25571.25</v>
      </c>
      <c r="G107" s="37">
        <f t="shared" si="3"/>
        <v>3.9319225381277967E-3</v>
      </c>
    </row>
    <row r="108" spans="2:7" x14ac:dyDescent="0.45">
      <c r="B108" s="84">
        <v>46076</v>
      </c>
      <c r="C108" s="85">
        <v>1141</v>
      </c>
      <c r="D108" s="37">
        <f t="shared" si="2"/>
        <v>-1.3146472767507911E-2</v>
      </c>
      <c r="F108" s="38">
        <v>25178.650390625</v>
      </c>
      <c r="G108" s="37">
        <f t="shared" si="3"/>
        <v>-1.5353164564696709E-2</v>
      </c>
    </row>
    <row r="109" spans="2:7" x14ac:dyDescent="0.45">
      <c r="B109" s="84">
        <v>46083</v>
      </c>
      <c r="C109" s="85">
        <v>1116.699951171875</v>
      </c>
      <c r="D109" s="37">
        <f t="shared" si="2"/>
        <v>-2.1297150594325132E-2</v>
      </c>
      <c r="F109" s="38">
        <v>24450.44921875</v>
      </c>
      <c r="G109" s="37">
        <f t="shared" si="3"/>
        <v>-2.8921374282480872E-2</v>
      </c>
    </row>
    <row r="110" spans="2:7" x14ac:dyDescent="0.45">
      <c r="B110" s="84">
        <v>46090</v>
      </c>
      <c r="C110" s="85">
        <v>1083.599975585938</v>
      </c>
      <c r="D110" s="37">
        <f t="shared" si="2"/>
        <v>-2.9640885674976247E-2</v>
      </c>
      <c r="F110" s="38">
        <v>23151.099609375</v>
      </c>
      <c r="G110" s="37">
        <f t="shared" si="3"/>
        <v>-5.3142156929312567E-2</v>
      </c>
    </row>
    <row r="111" spans="2:7" x14ac:dyDescent="0.45">
      <c r="B111" s="84">
        <v>46097</v>
      </c>
      <c r="C111" s="85">
        <v>1050.199951171875</v>
      </c>
      <c r="D111" s="37">
        <f t="shared" si="2"/>
        <v>-3.0823205210947391E-2</v>
      </c>
      <c r="F111" s="38">
        <v>23114.5</v>
      </c>
      <c r="G111" s="37">
        <f t="shared" si="3"/>
        <v>-1.5809015551113692E-3</v>
      </c>
    </row>
  </sheetData>
  <autoFilter ref="B6:D111" xr:uid="{2B5013BD-983A-4AEA-B548-0C3E1DD6FA4C}"/>
  <mergeCells count="3">
    <mergeCell ref="B4:D4"/>
    <mergeCell ref="F4:G4"/>
    <mergeCell ref="I4:J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5E74-F152-4A56-BC2E-5409ABC64C1D}">
  <sheetPr codeName="Sheet10"/>
  <dimension ref="B2:G31"/>
  <sheetViews>
    <sheetView showGridLines="0" workbookViewId="0">
      <selection activeCell="C5" sqref="C5"/>
    </sheetView>
  </sheetViews>
  <sheetFormatPr defaultRowHeight="13.8" x14ac:dyDescent="0.45"/>
  <cols>
    <col min="1" max="1" width="1.76171875" customWidth="1"/>
  </cols>
  <sheetData>
    <row r="2" spans="2:7" ht="14.1" x14ac:dyDescent="0.5">
      <c r="B2" s="130" t="s">
        <v>211</v>
      </c>
      <c r="C2" s="130"/>
    </row>
    <row r="4" spans="2:7" ht="14.1" x14ac:dyDescent="0.5">
      <c r="B4" s="102" t="s">
        <v>157</v>
      </c>
      <c r="C4" s="101" t="s">
        <v>210</v>
      </c>
    </row>
    <row r="5" spans="2:7" x14ac:dyDescent="0.45">
      <c r="B5" s="82">
        <v>2000</v>
      </c>
      <c r="C5" s="39">
        <v>-0.14649999999999999</v>
      </c>
    </row>
    <row r="6" spans="2:7" x14ac:dyDescent="0.45">
      <c r="B6" s="82">
        <v>2001</v>
      </c>
      <c r="C6" s="39">
        <v>-0.1618</v>
      </c>
      <c r="E6" t="s">
        <v>209</v>
      </c>
      <c r="G6" s="37">
        <f>AVERAGE(C5:C30)</f>
        <v>0.1514923076923077</v>
      </c>
    </row>
    <row r="7" spans="2:7" ht="15.9" x14ac:dyDescent="0.45">
      <c r="B7" s="82">
        <v>2002</v>
      </c>
      <c r="C7" s="39">
        <v>3.2500000000000001E-2</v>
      </c>
      <c r="E7" s="100" t="s">
        <v>208</v>
      </c>
      <c r="F7" s="100"/>
      <c r="G7" s="99" t="s">
        <v>207</v>
      </c>
    </row>
    <row r="8" spans="2:7" x14ac:dyDescent="0.45">
      <c r="B8" s="82">
        <v>2003</v>
      </c>
      <c r="C8" s="39">
        <v>0.71900000000000008</v>
      </c>
    </row>
    <row r="9" spans="2:7" ht="14.1" x14ac:dyDescent="0.5">
      <c r="B9" s="82">
        <v>2004</v>
      </c>
      <c r="C9" s="39">
        <v>0.10679999999999999</v>
      </c>
      <c r="E9" s="74" t="s">
        <v>206</v>
      </c>
      <c r="G9" s="98">
        <f>SUM(G6:G7)</f>
        <v>0.1514923076923077</v>
      </c>
    </row>
    <row r="10" spans="2:7" x14ac:dyDescent="0.45">
      <c r="B10" s="82">
        <v>2005</v>
      </c>
      <c r="C10" s="39">
        <v>0.36340000000000006</v>
      </c>
    </row>
    <row r="11" spans="2:7" x14ac:dyDescent="0.45">
      <c r="B11" s="82">
        <v>2006</v>
      </c>
      <c r="C11" s="39">
        <v>0.39829999999999999</v>
      </c>
    </row>
    <row r="12" spans="2:7" x14ac:dyDescent="0.45">
      <c r="B12" s="82">
        <v>2007</v>
      </c>
      <c r="C12" s="39">
        <v>0.54770000000000008</v>
      </c>
    </row>
    <row r="13" spans="2:7" x14ac:dyDescent="0.45">
      <c r="B13" s="82">
        <v>2008</v>
      </c>
      <c r="C13" s="39">
        <v>-0.51790000000000003</v>
      </c>
    </row>
    <row r="14" spans="2:7" x14ac:dyDescent="0.45">
      <c r="B14" s="82">
        <v>2009</v>
      </c>
      <c r="C14" s="39">
        <v>0.75760000000000005</v>
      </c>
    </row>
    <row r="15" spans="2:7" x14ac:dyDescent="0.45">
      <c r="B15" s="82">
        <v>2010</v>
      </c>
      <c r="C15" s="39">
        <v>0.17949999999999999</v>
      </c>
    </row>
    <row r="16" spans="2:7" x14ac:dyDescent="0.45">
      <c r="B16" s="82">
        <v>2011</v>
      </c>
      <c r="C16" s="39">
        <v>-0.2462</v>
      </c>
    </row>
    <row r="17" spans="2:3" x14ac:dyDescent="0.45">
      <c r="B17" s="82">
        <v>2012</v>
      </c>
      <c r="C17" s="39">
        <v>0.27699999999999997</v>
      </c>
    </row>
    <row r="18" spans="2:3" x14ac:dyDescent="0.45">
      <c r="B18" s="82">
        <v>2013</v>
      </c>
      <c r="C18" s="39">
        <v>6.7599999999999993E-2</v>
      </c>
    </row>
    <row r="19" spans="2:3" x14ac:dyDescent="0.45">
      <c r="B19" s="82">
        <v>2014</v>
      </c>
      <c r="C19" s="39">
        <v>0.31390000000000001</v>
      </c>
    </row>
    <row r="20" spans="2:3" x14ac:dyDescent="0.45">
      <c r="B20" s="82">
        <v>2015</v>
      </c>
      <c r="C20" s="39">
        <v>-4.0599999999999997E-2</v>
      </c>
    </row>
    <row r="21" spans="2:3" x14ac:dyDescent="0.45">
      <c r="B21" s="82">
        <v>2016</v>
      </c>
      <c r="C21" s="39">
        <v>3.0099999999999998E-2</v>
      </c>
    </row>
    <row r="22" spans="2:3" x14ac:dyDescent="0.45">
      <c r="B22" s="82">
        <v>2017</v>
      </c>
      <c r="C22" s="39">
        <v>0.28649999999999998</v>
      </c>
    </row>
    <row r="23" spans="2:3" x14ac:dyDescent="0.45">
      <c r="B23" s="82">
        <v>2018</v>
      </c>
      <c r="C23" s="39">
        <v>3.15E-2</v>
      </c>
    </row>
    <row r="24" spans="2:3" x14ac:dyDescent="0.45">
      <c r="B24" s="82">
        <v>2019</v>
      </c>
      <c r="C24" s="39">
        <v>0.1202</v>
      </c>
    </row>
    <row r="25" spans="2:3" x14ac:dyDescent="0.45">
      <c r="B25" s="82">
        <v>2020</v>
      </c>
      <c r="C25" s="39">
        <v>0.14899999999999999</v>
      </c>
    </row>
    <row r="26" spans="2:3" x14ac:dyDescent="0.45">
      <c r="B26" s="82">
        <v>2021</v>
      </c>
      <c r="C26" s="39">
        <v>0.2412</v>
      </c>
    </row>
    <row r="27" spans="2:3" x14ac:dyDescent="0.45">
      <c r="B27" s="82">
        <v>2022</v>
      </c>
      <c r="C27" s="39">
        <v>4.3200000000000002E-2</v>
      </c>
    </row>
    <row r="28" spans="2:3" x14ac:dyDescent="0.45">
      <c r="B28" s="82">
        <v>2023</v>
      </c>
      <c r="C28" s="39">
        <v>0.19420000000000001</v>
      </c>
    </row>
    <row r="29" spans="2:3" x14ac:dyDescent="0.45">
      <c r="B29" s="82">
        <v>2024</v>
      </c>
      <c r="C29" s="39">
        <v>8.7499999999999994E-2</v>
      </c>
    </row>
    <row r="30" spans="2:3" x14ac:dyDescent="0.45">
      <c r="B30" s="82">
        <v>2025</v>
      </c>
      <c r="C30" s="39">
        <v>0.1051</v>
      </c>
    </row>
    <row r="31" spans="2:3" x14ac:dyDescent="0.45">
      <c r="B31" s="82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EE8D-898B-4035-BD46-E15FC315FB1B}">
  <dimension ref="B2:K39"/>
  <sheetViews>
    <sheetView showGridLines="0" topLeftCell="A19" workbookViewId="0">
      <selection activeCell="K8" sqref="K8"/>
    </sheetView>
  </sheetViews>
  <sheetFormatPr defaultRowHeight="13.8" x14ac:dyDescent="0.45"/>
  <cols>
    <col min="1" max="1" width="1.76171875" customWidth="1"/>
    <col min="2" max="2" width="16.6171875" customWidth="1"/>
    <col min="3" max="3" width="10.6171875" customWidth="1"/>
    <col min="4" max="4" width="10.1875" customWidth="1"/>
    <col min="5" max="5" width="9.234375" bestFit="1" customWidth="1"/>
    <col min="6" max="6" width="9.85546875" bestFit="1" customWidth="1"/>
    <col min="7" max="7" width="8.85546875" bestFit="1" customWidth="1"/>
    <col min="8" max="8" width="8.046875" customWidth="1"/>
    <col min="10" max="10" width="10.85546875" customWidth="1"/>
    <col min="11" max="11" width="10.94921875" customWidth="1"/>
  </cols>
  <sheetData>
    <row r="2" spans="2:11" ht="14.1" x14ac:dyDescent="0.5">
      <c r="B2" s="130" t="s">
        <v>212</v>
      </c>
      <c r="C2" s="130"/>
      <c r="D2" s="130"/>
      <c r="E2" s="130"/>
      <c r="F2" s="130"/>
      <c r="G2" s="130"/>
      <c r="H2" s="130"/>
      <c r="I2" s="130"/>
      <c r="J2" s="130"/>
      <c r="K2" s="130"/>
    </row>
    <row r="4" spans="2:11" x14ac:dyDescent="0.45">
      <c r="B4" t="s">
        <v>213</v>
      </c>
    </row>
    <row r="5" spans="2:11" x14ac:dyDescent="0.45">
      <c r="B5" s="103"/>
      <c r="C5" s="103"/>
      <c r="D5" s="103"/>
      <c r="E5" s="103"/>
      <c r="F5" s="103"/>
      <c r="G5" s="103"/>
      <c r="H5" s="103" t="s">
        <v>214</v>
      </c>
      <c r="I5" s="103" t="s">
        <v>214</v>
      </c>
      <c r="J5" s="103" t="s">
        <v>215</v>
      </c>
      <c r="K5" s="103" t="s">
        <v>216</v>
      </c>
    </row>
    <row r="6" spans="2:11" ht="15.9" x14ac:dyDescent="0.45">
      <c r="B6" s="100" t="s">
        <v>217</v>
      </c>
      <c r="C6" s="100"/>
      <c r="D6" s="100" t="s">
        <v>218</v>
      </c>
      <c r="E6" s="100" t="s">
        <v>219</v>
      </c>
      <c r="F6" s="100" t="s">
        <v>220</v>
      </c>
      <c r="G6" s="100" t="s">
        <v>221</v>
      </c>
      <c r="H6" s="100" t="s">
        <v>222</v>
      </c>
      <c r="I6" s="100" t="s">
        <v>223</v>
      </c>
      <c r="J6" s="100" t="s">
        <v>224</v>
      </c>
      <c r="K6" s="100" t="s">
        <v>225</v>
      </c>
    </row>
    <row r="8" spans="2:11" x14ac:dyDescent="0.45">
      <c r="B8" s="104" t="s">
        <v>226</v>
      </c>
      <c r="D8" s="105" t="s">
        <v>231</v>
      </c>
      <c r="E8" s="38">
        <f>'Companies Data '!F4</f>
        <v>2576.11</v>
      </c>
      <c r="F8">
        <f>'Companies Data '!E4</f>
        <v>103923.78</v>
      </c>
      <c r="G8" s="106">
        <v>0.3</v>
      </c>
      <c r="H8" s="37">
        <f>'Companies Data '!G4</f>
        <v>0.13</v>
      </c>
      <c r="I8" s="37">
        <f>E8/(E8+F8)</f>
        <v>2.4188851274869864E-2</v>
      </c>
      <c r="J8" s="38">
        <f>Beta!N8</f>
        <v>0.90141258655566425</v>
      </c>
      <c r="K8" s="38">
        <f>J8/(1+(1-G8)*H8)</f>
        <v>0.82622601884112212</v>
      </c>
    </row>
    <row r="9" spans="2:11" x14ac:dyDescent="0.45">
      <c r="B9" s="104" t="s">
        <v>227</v>
      </c>
      <c r="D9" s="105" t="s">
        <v>231</v>
      </c>
      <c r="E9" s="38">
        <f>'Companies Data '!F5</f>
        <v>1775</v>
      </c>
      <c r="F9">
        <f>'Companies Data '!E5</f>
        <v>489349.37</v>
      </c>
      <c r="G9" s="106">
        <v>0.3</v>
      </c>
      <c r="H9" s="37">
        <f>'Companies Data '!G5</f>
        <v>0.04</v>
      </c>
      <c r="I9" s="37">
        <f t="shared" ref="I9:I12" si="0">E9/(E9+F9)</f>
        <v>3.6141558196348513E-3</v>
      </c>
      <c r="J9" s="38">
        <v>1.0538752777359239</v>
      </c>
      <c r="K9" s="38">
        <f>J9/(1+(1-G9)*H9)</f>
        <v>1.0251705036341672</v>
      </c>
    </row>
    <row r="10" spans="2:11" x14ac:dyDescent="0.45">
      <c r="B10" s="104" t="s">
        <v>228</v>
      </c>
      <c r="D10" s="105" t="s">
        <v>231</v>
      </c>
      <c r="E10" s="38">
        <f>'Companies Data '!F6</f>
        <v>476.85</v>
      </c>
      <c r="F10">
        <f>'Companies Data '!E6</f>
        <v>249080.36</v>
      </c>
      <c r="G10" s="106">
        <v>0.3</v>
      </c>
      <c r="H10" s="37">
        <f>'Companies Data '!G6</f>
        <v>0.1</v>
      </c>
      <c r="I10" s="37">
        <f t="shared" si="0"/>
        <v>1.9107843047291642E-3</v>
      </c>
      <c r="J10" s="38">
        <v>0.76940735751383438</v>
      </c>
      <c r="K10" s="38">
        <f t="shared" ref="K10:K12" si="1">J10/(1+(1-G10)*H10)</f>
        <v>0.71907229674190121</v>
      </c>
    </row>
    <row r="11" spans="2:11" x14ac:dyDescent="0.45">
      <c r="B11" s="104" t="s">
        <v>229</v>
      </c>
      <c r="D11" s="105" t="s">
        <v>231</v>
      </c>
      <c r="E11" s="38">
        <f>'Companies Data '!F7</f>
        <v>2196.3000000000002</v>
      </c>
      <c r="F11">
        <f>'Companies Data '!E7</f>
        <v>144581.19</v>
      </c>
      <c r="G11" s="106">
        <v>0.3</v>
      </c>
      <c r="H11" s="37">
        <f>'Companies Data '!G7</f>
        <v>0.59</v>
      </c>
      <c r="I11" s="37">
        <f t="shared" si="0"/>
        <v>1.4963466128218982E-2</v>
      </c>
      <c r="J11" s="38">
        <v>0.51902357716188152</v>
      </c>
      <c r="K11" s="38">
        <f t="shared" si="1"/>
        <v>0.36732029523133863</v>
      </c>
    </row>
    <row r="12" spans="2:11" x14ac:dyDescent="0.45">
      <c r="B12" s="104" t="s">
        <v>230</v>
      </c>
      <c r="D12" s="105" t="s">
        <v>231</v>
      </c>
      <c r="E12" s="38">
        <f>'Companies Data '!D8</f>
        <v>518.5</v>
      </c>
      <c r="F12">
        <f>'Companies Data '!E8</f>
        <v>91965.84</v>
      </c>
      <c r="G12" s="106">
        <v>0.3</v>
      </c>
      <c r="H12" s="37">
        <f>'Companies Data '!G8</f>
        <v>0.12</v>
      </c>
      <c r="I12" s="37">
        <f t="shared" si="0"/>
        <v>5.6063545460777473E-3</v>
      </c>
      <c r="J12" s="38">
        <v>0.86261382918419061</v>
      </c>
      <c r="K12" s="38">
        <f t="shared" si="1"/>
        <v>0.79576921511456689</v>
      </c>
    </row>
    <row r="14" spans="2:11" ht="14.1" x14ac:dyDescent="0.5">
      <c r="F14" s="107" t="s">
        <v>241</v>
      </c>
      <c r="G14" s="108">
        <f>AVERAGE(G8:G12)</f>
        <v>0.3</v>
      </c>
      <c r="H14" s="108">
        <f t="shared" ref="H14:K14" si="2">AVERAGE(H8:H12)</f>
        <v>0.19600000000000001</v>
      </c>
      <c r="I14" s="108">
        <f t="shared" si="2"/>
        <v>1.0056722414706121E-2</v>
      </c>
      <c r="J14" s="109">
        <f t="shared" si="2"/>
        <v>0.82126652563029889</v>
      </c>
      <c r="K14" s="109">
        <f t="shared" si="2"/>
        <v>0.74671166591261928</v>
      </c>
    </row>
    <row r="15" spans="2:11" ht="14.1" x14ac:dyDescent="0.5">
      <c r="F15" s="75" t="s">
        <v>155</v>
      </c>
      <c r="G15" s="110">
        <f>MEDIAN(G8:G12)</f>
        <v>0.3</v>
      </c>
      <c r="H15" s="110">
        <f t="shared" ref="H15:K15" si="3">MEDIAN(H8:H12)</f>
        <v>0.12</v>
      </c>
      <c r="I15" s="110">
        <f t="shared" si="3"/>
        <v>5.6063545460777473E-3</v>
      </c>
      <c r="J15" s="111">
        <f t="shared" si="3"/>
        <v>0.86261382918419061</v>
      </c>
      <c r="K15" s="111">
        <f t="shared" si="3"/>
        <v>0.79576921511456689</v>
      </c>
    </row>
    <row r="17" spans="2:11" x14ac:dyDescent="0.45">
      <c r="B17" s="112" t="s">
        <v>242</v>
      </c>
      <c r="C17" s="112"/>
      <c r="D17" s="112"/>
      <c r="E17" s="112"/>
      <c r="H17" s="112" t="s">
        <v>246</v>
      </c>
      <c r="I17" s="112"/>
      <c r="J17" s="112"/>
      <c r="K17" s="112"/>
    </row>
    <row r="18" spans="2:11" ht="4.8" customHeight="1" x14ac:dyDescent="0.45"/>
    <row r="19" spans="2:11" x14ac:dyDescent="0.45">
      <c r="B19" t="s">
        <v>243</v>
      </c>
      <c r="E19" s="37">
        <f>'Data Sheet'!K27/'Companies Data '!F4</f>
        <v>0.11265046911816652</v>
      </c>
      <c r="H19" t="s">
        <v>247</v>
      </c>
      <c r="K19" s="118">
        <v>6.7599999999999993E-2</v>
      </c>
    </row>
    <row r="20" spans="2:11" x14ac:dyDescent="0.45">
      <c r="B20" t="s">
        <v>244</v>
      </c>
      <c r="E20" s="117">
        <f>G14</f>
        <v>0.3</v>
      </c>
      <c r="H20" t="s">
        <v>248</v>
      </c>
      <c r="K20" s="95">
        <f>'Market Return'!G9-WACC!K19</f>
        <v>8.389230769230771E-2</v>
      </c>
    </row>
    <row r="21" spans="2:11" x14ac:dyDescent="0.45">
      <c r="B21" s="113" t="s">
        <v>245</v>
      </c>
      <c r="C21" s="113"/>
      <c r="D21" s="113"/>
      <c r="E21" s="95">
        <f>E19*(1-E20)</f>
        <v>7.8855328382716555E-2</v>
      </c>
      <c r="H21" s="112" t="s">
        <v>249</v>
      </c>
      <c r="I21" s="112"/>
      <c r="J21" s="112"/>
      <c r="K21" s="121">
        <f>K29</f>
        <v>0.79020639466156106</v>
      </c>
    </row>
    <row r="22" spans="2:11" x14ac:dyDescent="0.45">
      <c r="H22" t="s">
        <v>250</v>
      </c>
      <c r="K22" s="95">
        <f>K19+(K20*K21)</f>
        <v>0.13389223800137681</v>
      </c>
    </row>
    <row r="24" spans="2:11" ht="14.1" x14ac:dyDescent="0.5">
      <c r="B24" s="112" t="s">
        <v>251</v>
      </c>
      <c r="C24" s="112"/>
      <c r="D24" s="112"/>
      <c r="E24" s="112"/>
      <c r="H24" s="75" t="s">
        <v>256</v>
      </c>
      <c r="I24" s="75"/>
      <c r="J24" s="75"/>
      <c r="K24" s="112"/>
    </row>
    <row r="25" spans="2:11" ht="5.4" customHeight="1" x14ac:dyDescent="0.45"/>
    <row r="26" spans="2:11" x14ac:dyDescent="0.45">
      <c r="D26" s="112" t="s">
        <v>252</v>
      </c>
      <c r="E26" s="112" t="s">
        <v>253</v>
      </c>
      <c r="H26" t="s">
        <v>257</v>
      </c>
      <c r="K26" s="38">
        <f>K15</f>
        <v>0.79576921511456689</v>
      </c>
    </row>
    <row r="27" spans="2:11" x14ac:dyDescent="0.45">
      <c r="B27" t="s">
        <v>254</v>
      </c>
      <c r="C27" s="38">
        <f>E8</f>
        <v>2576.11</v>
      </c>
      <c r="D27" s="37">
        <f>C27/C29</f>
        <v>2.4188851274869864E-2</v>
      </c>
      <c r="E27" s="95">
        <f>I14</f>
        <v>1.0056722414706121E-2</v>
      </c>
      <c r="H27" t="s">
        <v>258</v>
      </c>
      <c r="K27" s="95">
        <f>E27</f>
        <v>1.0056722414706121E-2</v>
      </c>
    </row>
    <row r="28" spans="2:11" x14ac:dyDescent="0.45">
      <c r="B28" t="s">
        <v>44</v>
      </c>
      <c r="C28">
        <f>F8</f>
        <v>103923.78</v>
      </c>
      <c r="D28" s="37">
        <f>C28/C29</f>
        <v>0.97581114872513008</v>
      </c>
      <c r="E28" s="95">
        <f>E29-E27</f>
        <v>0.98994327758529388</v>
      </c>
      <c r="H28" t="s">
        <v>244</v>
      </c>
      <c r="K28" s="94">
        <f>G15</f>
        <v>0.3</v>
      </c>
    </row>
    <row r="29" spans="2:11" x14ac:dyDescent="0.45">
      <c r="B29" s="114" t="s">
        <v>255</v>
      </c>
      <c r="C29" s="119">
        <f>SUM(C27:C28)</f>
        <v>106499.89</v>
      </c>
      <c r="D29" s="120">
        <f>SUM(D27:D28)</f>
        <v>1</v>
      </c>
      <c r="E29" s="120">
        <v>1</v>
      </c>
      <c r="H29" s="55" t="s">
        <v>256</v>
      </c>
      <c r="I29" s="55"/>
      <c r="J29" s="55"/>
      <c r="K29" s="116">
        <f>K26/(1+(1-K28)*K27)</f>
        <v>0.79020639466156106</v>
      </c>
    </row>
    <row r="31" spans="2:11" ht="14.1" x14ac:dyDescent="0.5">
      <c r="B31" s="122" t="s">
        <v>259</v>
      </c>
      <c r="H31" s="115" t="s">
        <v>264</v>
      </c>
      <c r="I31" s="115"/>
      <c r="J31" s="115"/>
      <c r="K31" s="115"/>
    </row>
    <row r="32" spans="2:11" x14ac:dyDescent="0.45">
      <c r="B32" s="123" t="s">
        <v>260</v>
      </c>
    </row>
    <row r="33" spans="2:11" x14ac:dyDescent="0.45">
      <c r="B33" s="123" t="s">
        <v>261</v>
      </c>
      <c r="H33" t="s">
        <v>246</v>
      </c>
      <c r="J33" s="95"/>
      <c r="K33" s="95">
        <f>K22</f>
        <v>0.13389223800137681</v>
      </c>
    </row>
    <row r="34" spans="2:11" x14ac:dyDescent="0.45">
      <c r="B34" s="123" t="s">
        <v>262</v>
      </c>
      <c r="H34" t="s">
        <v>265</v>
      </c>
      <c r="J34" s="95"/>
      <c r="K34" s="95">
        <f>E28</f>
        <v>0.98994327758529388</v>
      </c>
    </row>
    <row r="35" spans="2:11" x14ac:dyDescent="0.45">
      <c r="B35" s="123" t="s">
        <v>263</v>
      </c>
    </row>
    <row r="36" spans="2:11" x14ac:dyDescent="0.45">
      <c r="H36" t="s">
        <v>242</v>
      </c>
      <c r="J36" s="95"/>
      <c r="K36" s="95">
        <f>E21</f>
        <v>7.8855328382716555E-2</v>
      </c>
    </row>
    <row r="37" spans="2:11" x14ac:dyDescent="0.45">
      <c r="H37" t="s">
        <v>266</v>
      </c>
      <c r="J37" s="95"/>
      <c r="K37" s="95">
        <f>E27</f>
        <v>1.0056722414706121E-2</v>
      </c>
    </row>
    <row r="39" spans="2:11" ht="14.1" x14ac:dyDescent="0.5">
      <c r="H39" s="124" t="s">
        <v>267</v>
      </c>
      <c r="I39" s="124"/>
      <c r="J39" s="125"/>
      <c r="K39" s="125">
        <f>(K33*K34)+(K36*K37)</f>
        <v>0.13333874707877866</v>
      </c>
    </row>
  </sheetData>
  <mergeCells count="1">
    <mergeCell ref="B2:K2"/>
  </mergeCells>
  <pageMargins left="0.7" right="0.7" top="0.75" bottom="0.46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DEDF0-676A-428E-999C-F962BEBEE85B}">
  <dimension ref="B2:O45"/>
  <sheetViews>
    <sheetView showGridLines="0" workbookViewId="0">
      <pane ySplit="3" topLeftCell="A4" activePane="bottomLeft" state="frozen"/>
      <selection pane="bottomLeft" activeCell="K23" sqref="K23"/>
    </sheetView>
  </sheetViews>
  <sheetFormatPr defaultRowHeight="12" customHeight="1" x14ac:dyDescent="0.4"/>
  <cols>
    <col min="1" max="1" width="1.76171875" style="40" customWidth="1"/>
    <col min="2" max="2" width="21.28515625" style="40" bestFit="1" customWidth="1"/>
    <col min="3" max="3" width="6.5234375" style="40" customWidth="1"/>
    <col min="4" max="5" width="7.5234375" style="40" customWidth="1"/>
    <col min="6" max="13" width="8.1875" style="40" bestFit="1" customWidth="1"/>
    <col min="14" max="16384" width="8.76171875" style="40"/>
  </cols>
  <sheetData>
    <row r="2" spans="2:15" ht="12" customHeight="1" x14ac:dyDescent="0.4">
      <c r="B2" s="129" t="s">
        <v>81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2:15" ht="12" customHeight="1" x14ac:dyDescent="0.4">
      <c r="B3" s="135" t="s">
        <v>123</v>
      </c>
      <c r="C3" s="135"/>
      <c r="D3" s="136">
        <f>'Data Sheet'!B16</f>
        <v>42460</v>
      </c>
      <c r="E3" s="136">
        <f>'Data Sheet'!C16</f>
        <v>42825</v>
      </c>
      <c r="F3" s="136">
        <f>'Data Sheet'!D16</f>
        <v>43190</v>
      </c>
      <c r="G3" s="136">
        <f>'Data Sheet'!E16</f>
        <v>43555</v>
      </c>
      <c r="H3" s="136">
        <f>'Data Sheet'!F16</f>
        <v>43921</v>
      </c>
      <c r="I3" s="136">
        <f>'Data Sheet'!G16</f>
        <v>44286</v>
      </c>
      <c r="J3" s="136">
        <f>'Data Sheet'!H16</f>
        <v>44651</v>
      </c>
      <c r="K3" s="136">
        <f>'Data Sheet'!I16</f>
        <v>45016</v>
      </c>
      <c r="L3" s="136">
        <f>'Data Sheet'!J16</f>
        <v>45382</v>
      </c>
      <c r="M3" s="136">
        <f>'Data Sheet'!K16</f>
        <v>45747</v>
      </c>
    </row>
    <row r="4" spans="2:15" ht="4.8" customHeight="1" x14ac:dyDescent="0.4"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</row>
    <row r="5" spans="2:15" ht="12" customHeight="1" x14ac:dyDescent="0.45">
      <c r="B5" s="132" t="s">
        <v>268</v>
      </c>
      <c r="C5" s="138"/>
      <c r="D5" s="145">
        <v>63</v>
      </c>
      <c r="E5" s="145">
        <v>63</v>
      </c>
      <c r="F5" s="145">
        <v>63</v>
      </c>
      <c r="G5" s="145">
        <v>63</v>
      </c>
      <c r="H5" s="145">
        <v>92</v>
      </c>
      <c r="I5" s="145">
        <v>92</v>
      </c>
      <c r="J5" s="145">
        <v>92</v>
      </c>
      <c r="K5" s="145">
        <v>93</v>
      </c>
      <c r="L5" s="145">
        <v>95</v>
      </c>
      <c r="M5" s="145">
        <v>99</v>
      </c>
      <c r="O5" s="140"/>
    </row>
    <row r="6" spans="2:15" ht="12" customHeight="1" x14ac:dyDescent="0.45">
      <c r="B6" s="40" t="s">
        <v>22</v>
      </c>
      <c r="C6" s="140"/>
      <c r="D6" s="146">
        <v>6184</v>
      </c>
      <c r="E6" s="146">
        <v>6202</v>
      </c>
      <c r="F6" s="146">
        <v>6968</v>
      </c>
      <c r="G6" s="146">
        <v>7269</v>
      </c>
      <c r="H6" s="146">
        <v>13723</v>
      </c>
      <c r="I6" s="146">
        <v>14442</v>
      </c>
      <c r="J6" s="146">
        <v>15050</v>
      </c>
      <c r="K6" s="146">
        <v>16184</v>
      </c>
      <c r="L6" s="146">
        <v>15962</v>
      </c>
      <c r="M6" s="146">
        <v>19902</v>
      </c>
      <c r="O6" s="140"/>
    </row>
    <row r="7" spans="2:15" ht="12" customHeight="1" x14ac:dyDescent="0.45">
      <c r="B7" s="132" t="s">
        <v>294</v>
      </c>
      <c r="C7" s="140"/>
      <c r="D7" s="146"/>
      <c r="E7" s="146"/>
      <c r="F7" s="146"/>
      <c r="G7" s="146"/>
      <c r="H7" s="146"/>
      <c r="I7" s="146"/>
      <c r="J7" s="146"/>
      <c r="K7" s="146"/>
      <c r="L7" s="146"/>
      <c r="M7" s="146"/>
      <c r="O7" s="140"/>
    </row>
    <row r="8" spans="2:15" ht="12" customHeight="1" x14ac:dyDescent="0.45">
      <c r="B8" s="40" t="s">
        <v>269</v>
      </c>
      <c r="C8" s="140"/>
      <c r="D8" s="146">
        <v>504</v>
      </c>
      <c r="E8" s="146">
        <v>450</v>
      </c>
      <c r="F8" s="146">
        <v>656</v>
      </c>
      <c r="G8" s="146">
        <v>787</v>
      </c>
      <c r="H8" s="146">
        <v>795</v>
      </c>
      <c r="I8" s="146">
        <v>288</v>
      </c>
      <c r="J8" s="146">
        <v>242</v>
      </c>
      <c r="K8" s="146">
        <v>206</v>
      </c>
      <c r="L8" s="146">
        <v>168</v>
      </c>
      <c r="M8" s="146">
        <v>191</v>
      </c>
      <c r="O8" s="140"/>
    </row>
    <row r="9" spans="2:15" ht="12" customHeight="1" x14ac:dyDescent="0.45">
      <c r="B9" s="40" t="s">
        <v>270</v>
      </c>
      <c r="D9" s="146">
        <v>409</v>
      </c>
      <c r="E9" s="146">
        <v>320</v>
      </c>
      <c r="F9" s="146">
        <v>400</v>
      </c>
      <c r="G9" s="146">
        <v>330</v>
      </c>
      <c r="H9" s="146">
        <v>388</v>
      </c>
      <c r="I9" s="146">
        <v>919</v>
      </c>
      <c r="J9" s="146">
        <v>769</v>
      </c>
      <c r="K9" s="146">
        <v>977</v>
      </c>
      <c r="L9" s="146">
        <v>2786</v>
      </c>
      <c r="M9" s="146">
        <v>1658</v>
      </c>
      <c r="O9" s="140"/>
    </row>
    <row r="10" spans="2:15" ht="12" customHeight="1" x14ac:dyDescent="0.45">
      <c r="B10" s="40" t="s">
        <v>271</v>
      </c>
      <c r="D10" s="146">
        <v>0</v>
      </c>
      <c r="E10" s="146">
        <v>0</v>
      </c>
      <c r="F10" s="146">
        <v>0</v>
      </c>
      <c r="G10" s="146">
        <v>0</v>
      </c>
      <c r="H10" s="146">
        <v>330</v>
      </c>
      <c r="I10" s="146">
        <v>427</v>
      </c>
      <c r="J10" s="146">
        <v>401</v>
      </c>
      <c r="K10" s="146">
        <v>417</v>
      </c>
      <c r="L10" s="146">
        <v>523</v>
      </c>
      <c r="M10" s="146">
        <v>544</v>
      </c>
    </row>
    <row r="11" spans="2:15" ht="12" customHeight="1" x14ac:dyDescent="0.45">
      <c r="B11" s="40" t="s">
        <v>272</v>
      </c>
      <c r="C11" s="140"/>
      <c r="D11" s="146">
        <v>441</v>
      </c>
      <c r="E11" s="146">
        <v>16</v>
      </c>
      <c r="F11" s="146">
        <v>11</v>
      </c>
      <c r="G11" s="146">
        <v>24</v>
      </c>
      <c r="H11" s="146">
        <v>74</v>
      </c>
      <c r="I11" s="146">
        <v>0</v>
      </c>
      <c r="J11" s="146">
        <v>0</v>
      </c>
      <c r="K11" s="146">
        <v>0</v>
      </c>
      <c r="L11" s="146">
        <v>0</v>
      </c>
      <c r="M11" s="146">
        <v>0</v>
      </c>
      <c r="O11" s="140"/>
    </row>
    <row r="12" spans="2:15" ht="12" customHeight="1" x14ac:dyDescent="0.45">
      <c r="B12" s="132" t="s">
        <v>295</v>
      </c>
      <c r="C12" s="140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O12" s="140"/>
    </row>
    <row r="13" spans="2:15" ht="12" customHeight="1" x14ac:dyDescent="0.45">
      <c r="B13" s="40" t="s">
        <v>273</v>
      </c>
      <c r="D13" s="146">
        <v>862</v>
      </c>
      <c r="E13" s="146">
        <v>920</v>
      </c>
      <c r="F13" s="146">
        <v>1009</v>
      </c>
      <c r="G13" s="146">
        <v>1028</v>
      </c>
      <c r="H13" s="146">
        <v>1092</v>
      </c>
      <c r="I13" s="146">
        <v>1093</v>
      </c>
      <c r="J13" s="146">
        <v>1152</v>
      </c>
      <c r="K13" s="146">
        <v>850</v>
      </c>
      <c r="L13" s="146">
        <v>1379</v>
      </c>
      <c r="M13" s="146">
        <v>1389</v>
      </c>
      <c r="O13" s="140"/>
    </row>
    <row r="14" spans="2:15" ht="12" customHeight="1" x14ac:dyDescent="0.45">
      <c r="B14" s="40" t="s">
        <v>274</v>
      </c>
      <c r="D14" s="146">
        <v>677</v>
      </c>
      <c r="E14" s="146">
        <v>738</v>
      </c>
      <c r="F14" s="146">
        <v>706</v>
      </c>
      <c r="G14" s="146">
        <v>665</v>
      </c>
      <c r="H14" s="146">
        <v>944</v>
      </c>
      <c r="I14" s="146">
        <v>1625</v>
      </c>
      <c r="J14" s="146">
        <v>1916</v>
      </c>
      <c r="K14" s="146">
        <v>2348</v>
      </c>
      <c r="L14" s="146">
        <v>2707</v>
      </c>
      <c r="M14" s="146">
        <v>3508</v>
      </c>
      <c r="O14" s="140"/>
    </row>
    <row r="15" spans="2:15" ht="12" customHeight="1" x14ac:dyDescent="0.45">
      <c r="B15" s="40" t="s">
        <v>275</v>
      </c>
      <c r="D15" s="146">
        <v>3</v>
      </c>
      <c r="E15" s="146">
        <v>6</v>
      </c>
      <c r="F15" s="146">
        <v>9</v>
      </c>
      <c r="G15" s="146">
        <v>6</v>
      </c>
      <c r="H15" s="146">
        <v>13</v>
      </c>
      <c r="I15" s="146">
        <v>41</v>
      </c>
      <c r="J15" s="146">
        <v>44</v>
      </c>
      <c r="K15" s="146">
        <v>52</v>
      </c>
      <c r="L15" s="146">
        <v>64</v>
      </c>
      <c r="M15" s="146">
        <v>65</v>
      </c>
      <c r="O15" s="140"/>
    </row>
    <row r="16" spans="2:15" ht="12" customHeight="1" x14ac:dyDescent="0.45">
      <c r="B16" s="40" t="s">
        <v>276</v>
      </c>
      <c r="C16" s="140"/>
      <c r="D16" s="147">
        <v>751</v>
      </c>
      <c r="E16" s="147">
        <v>836</v>
      </c>
      <c r="F16" s="147">
        <v>638</v>
      </c>
      <c r="G16" s="147">
        <v>710</v>
      </c>
      <c r="H16" s="147">
        <v>1022</v>
      </c>
      <c r="I16" s="147">
        <v>1291</v>
      </c>
      <c r="J16" s="147">
        <v>1409</v>
      </c>
      <c r="K16" s="147">
        <v>1636</v>
      </c>
      <c r="L16" s="147">
        <v>4195</v>
      </c>
      <c r="M16" s="147">
        <v>4474</v>
      </c>
      <c r="O16" s="140"/>
    </row>
    <row r="17" spans="2:15" ht="12" customHeight="1" thickBot="1" x14ac:dyDescent="0.5">
      <c r="B17" s="133" t="s">
        <v>277</v>
      </c>
      <c r="C17" s="142"/>
      <c r="D17" s="143">
        <v>9895</v>
      </c>
      <c r="E17" s="143">
        <v>9551</v>
      </c>
      <c r="F17" s="143">
        <v>10461</v>
      </c>
      <c r="G17" s="143">
        <v>10881</v>
      </c>
      <c r="H17" s="143">
        <v>18473</v>
      </c>
      <c r="I17" s="143">
        <v>20218</v>
      </c>
      <c r="J17" s="143">
        <v>21075</v>
      </c>
      <c r="K17" s="143">
        <v>22762</v>
      </c>
      <c r="L17" s="143">
        <v>27879</v>
      </c>
      <c r="M17" s="143">
        <v>31831</v>
      </c>
      <c r="O17" s="140"/>
    </row>
    <row r="18" spans="2:15" ht="12" customHeight="1" thickTop="1" x14ac:dyDescent="0.45">
      <c r="B18" s="134"/>
      <c r="C18" s="144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O18" s="140"/>
    </row>
    <row r="19" spans="2:15" ht="12" customHeight="1" x14ac:dyDescent="0.45">
      <c r="B19" s="132" t="s">
        <v>296</v>
      </c>
      <c r="C19" s="140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O19" s="140"/>
    </row>
    <row r="20" spans="2:15" ht="12" customHeight="1" x14ac:dyDescent="0.45">
      <c r="B20" s="40" t="s">
        <v>278</v>
      </c>
      <c r="D20" s="146">
        <v>68</v>
      </c>
      <c r="E20" s="146">
        <v>60</v>
      </c>
      <c r="F20" s="146">
        <v>59</v>
      </c>
      <c r="G20" s="146">
        <v>63</v>
      </c>
      <c r="H20" s="146">
        <v>150</v>
      </c>
      <c r="I20" s="146">
        <v>146</v>
      </c>
      <c r="J20" s="146">
        <v>168</v>
      </c>
      <c r="K20" s="146">
        <v>172</v>
      </c>
      <c r="L20" s="146">
        <v>204</v>
      </c>
      <c r="M20" s="146">
        <v>192</v>
      </c>
    </row>
    <row r="21" spans="2:15" ht="12" customHeight="1" x14ac:dyDescent="0.45">
      <c r="B21" s="40" t="s">
        <v>279</v>
      </c>
      <c r="D21" s="146">
        <v>266</v>
      </c>
      <c r="E21" s="146">
        <v>229</v>
      </c>
      <c r="F21" s="146">
        <v>254</v>
      </c>
      <c r="G21" s="146">
        <v>316</v>
      </c>
      <c r="H21" s="146">
        <v>528</v>
      </c>
      <c r="I21" s="146">
        <v>640</v>
      </c>
      <c r="J21" s="146">
        <v>714</v>
      </c>
      <c r="K21" s="146">
        <v>728</v>
      </c>
      <c r="L21" s="146">
        <v>963</v>
      </c>
      <c r="M21" s="146">
        <v>1027</v>
      </c>
    </row>
    <row r="22" spans="2:15" ht="12" customHeight="1" x14ac:dyDescent="0.45">
      <c r="B22" s="40" t="s">
        <v>280</v>
      </c>
      <c r="C22" s="140"/>
      <c r="D22" s="146">
        <v>0</v>
      </c>
      <c r="E22" s="146">
        <v>0</v>
      </c>
      <c r="F22" s="146">
        <v>0</v>
      </c>
      <c r="G22" s="146">
        <v>0</v>
      </c>
      <c r="H22" s="146">
        <v>0</v>
      </c>
      <c r="I22" s="146">
        <v>0</v>
      </c>
      <c r="J22" s="146">
        <v>0</v>
      </c>
      <c r="K22" s="146">
        <v>0</v>
      </c>
      <c r="L22" s="146">
        <v>0</v>
      </c>
      <c r="M22" s="146">
        <v>0</v>
      </c>
    </row>
    <row r="23" spans="2:15" ht="12" customHeight="1" x14ac:dyDescent="0.45">
      <c r="B23" s="40" t="s">
        <v>281</v>
      </c>
      <c r="C23" s="140"/>
      <c r="D23" s="146">
        <v>1387</v>
      </c>
      <c r="E23" s="146">
        <v>1305</v>
      </c>
      <c r="F23" s="146">
        <v>1409</v>
      </c>
      <c r="G23" s="146">
        <v>1465</v>
      </c>
      <c r="H23" s="146">
        <v>1956</v>
      </c>
      <c r="I23" s="146">
        <v>2054</v>
      </c>
      <c r="J23" s="146">
        <v>2273</v>
      </c>
      <c r="K23" s="146">
        <v>2442</v>
      </c>
      <c r="L23" s="146">
        <v>2811</v>
      </c>
      <c r="M23" s="146">
        <v>2785</v>
      </c>
    </row>
    <row r="24" spans="2:15" ht="12" customHeight="1" x14ac:dyDescent="0.45">
      <c r="B24" s="40" t="s">
        <v>282</v>
      </c>
      <c r="D24" s="146">
        <v>9</v>
      </c>
      <c r="E24" s="146">
        <v>5</v>
      </c>
      <c r="F24" s="146">
        <v>7</v>
      </c>
      <c r="G24" s="146">
        <v>7</v>
      </c>
      <c r="H24" s="146">
        <v>8</v>
      </c>
      <c r="I24" s="146">
        <v>10</v>
      </c>
      <c r="J24" s="146">
        <v>9</v>
      </c>
      <c r="K24" s="146">
        <v>7</v>
      </c>
      <c r="L24" s="146">
        <v>0</v>
      </c>
      <c r="M24" s="146">
        <v>0</v>
      </c>
    </row>
    <row r="25" spans="2:15" ht="12" customHeight="1" x14ac:dyDescent="0.45">
      <c r="B25" s="40" t="s">
        <v>283</v>
      </c>
      <c r="D25" s="146">
        <v>171</v>
      </c>
      <c r="E25" s="146">
        <v>165</v>
      </c>
      <c r="F25" s="146">
        <v>178</v>
      </c>
      <c r="G25" s="146">
        <v>190</v>
      </c>
      <c r="H25" s="146">
        <v>217</v>
      </c>
      <c r="I25" s="146">
        <v>229</v>
      </c>
      <c r="J25" s="146">
        <v>229</v>
      </c>
      <c r="K25" s="146">
        <v>246</v>
      </c>
      <c r="L25" s="146">
        <v>264</v>
      </c>
      <c r="M25" s="146">
        <v>295</v>
      </c>
    </row>
    <row r="26" spans="2:15" ht="12" customHeight="1" x14ac:dyDescent="0.45">
      <c r="B26" s="40" t="s">
        <v>284</v>
      </c>
      <c r="C26" s="140"/>
      <c r="D26" s="146">
        <v>23</v>
      </c>
      <c r="E26" s="146">
        <v>24</v>
      </c>
      <c r="F26" s="146">
        <v>23</v>
      </c>
      <c r="G26" s="146">
        <v>22</v>
      </c>
      <c r="H26" s="146">
        <v>27</v>
      </c>
      <c r="I26" s="146">
        <v>25</v>
      </c>
      <c r="J26" s="146">
        <v>23</v>
      </c>
      <c r="K26" s="146">
        <v>20</v>
      </c>
      <c r="L26" s="146">
        <v>27</v>
      </c>
      <c r="M26" s="146">
        <v>34</v>
      </c>
      <c r="O26" s="140"/>
    </row>
    <row r="27" spans="2:15" ht="12" customHeight="1" x14ac:dyDescent="0.45">
      <c r="B27" s="40" t="s">
        <v>285</v>
      </c>
      <c r="C27" s="140"/>
      <c r="D27" s="146">
        <v>4408</v>
      </c>
      <c r="E27" s="146">
        <v>4173</v>
      </c>
      <c r="F27" s="146">
        <v>4408</v>
      </c>
      <c r="G27" s="146">
        <v>4485</v>
      </c>
      <c r="H27" s="146">
        <v>10566</v>
      </c>
      <c r="I27" s="146">
        <v>10812</v>
      </c>
      <c r="J27" s="146">
        <v>11008</v>
      </c>
      <c r="K27" s="146">
        <v>11405</v>
      </c>
      <c r="L27" s="146">
        <v>17596</v>
      </c>
      <c r="M27" s="146">
        <v>19944</v>
      </c>
      <c r="O27" s="140"/>
    </row>
    <row r="28" spans="2:15" ht="12" customHeight="1" x14ac:dyDescent="0.45">
      <c r="B28" s="40" t="s">
        <v>286</v>
      </c>
      <c r="C28" s="140"/>
      <c r="D28" s="146">
        <v>149</v>
      </c>
      <c r="E28" s="146">
        <v>327</v>
      </c>
      <c r="F28" s="146">
        <v>331</v>
      </c>
      <c r="G28" s="146">
        <v>349</v>
      </c>
      <c r="H28" s="146">
        <v>668</v>
      </c>
      <c r="I28" s="146">
        <v>576</v>
      </c>
      <c r="J28" s="146">
        <v>802</v>
      </c>
      <c r="K28" s="146">
        <v>881</v>
      </c>
      <c r="L28" s="146">
        <v>646</v>
      </c>
      <c r="M28" s="146">
        <v>720</v>
      </c>
    </row>
    <row r="29" spans="2:15" ht="12" customHeight="1" x14ac:dyDescent="0.45">
      <c r="C29" s="140"/>
      <c r="D29" s="146"/>
      <c r="E29" s="146"/>
      <c r="F29" s="146"/>
      <c r="G29" s="146"/>
      <c r="H29" s="146"/>
      <c r="I29" s="146"/>
      <c r="J29" s="146"/>
      <c r="K29" s="146"/>
      <c r="L29" s="146"/>
      <c r="M29" s="146"/>
    </row>
    <row r="30" spans="2:15" ht="12" customHeight="1" x14ac:dyDescent="0.45">
      <c r="B30" s="132" t="s">
        <v>287</v>
      </c>
      <c r="C30" s="138"/>
      <c r="D30" s="145">
        <v>6480</v>
      </c>
      <c r="E30" s="145">
        <v>6287</v>
      </c>
      <c r="F30" s="145">
        <v>6669</v>
      </c>
      <c r="G30" s="145">
        <v>6898</v>
      </c>
      <c r="H30" s="145">
        <v>14120</v>
      </c>
      <c r="I30" s="145">
        <v>14492</v>
      </c>
      <c r="J30" s="145">
        <v>15226</v>
      </c>
      <c r="K30" s="145">
        <v>15900</v>
      </c>
      <c r="L30" s="145">
        <v>22510</v>
      </c>
      <c r="M30" s="145">
        <v>24997</v>
      </c>
    </row>
    <row r="31" spans="2:15" ht="12" customHeight="1" x14ac:dyDescent="0.45">
      <c r="B31" s="132" t="s">
        <v>288</v>
      </c>
      <c r="C31" s="138"/>
      <c r="D31" s="139">
        <v>1818</v>
      </c>
      <c r="E31" s="139">
        <v>1715</v>
      </c>
      <c r="F31" s="139">
        <v>1870</v>
      </c>
      <c r="G31" s="139">
        <v>1984</v>
      </c>
      <c r="H31" s="139">
        <v>2464</v>
      </c>
      <c r="I31" s="139">
        <v>2469</v>
      </c>
      <c r="J31" s="139">
        <v>2627</v>
      </c>
      <c r="K31" s="139">
        <v>2830</v>
      </c>
      <c r="L31" s="139">
        <v>3152</v>
      </c>
      <c r="M31" s="139">
        <v>3520</v>
      </c>
    </row>
    <row r="32" spans="2:15" ht="12" customHeight="1" thickBot="1" x14ac:dyDescent="0.5">
      <c r="B32" s="133" t="s">
        <v>19</v>
      </c>
      <c r="C32" s="142"/>
      <c r="D32" s="143">
        <f>D30-D31</f>
        <v>4662</v>
      </c>
      <c r="E32" s="143">
        <f t="shared" ref="E32:M32" si="0">E30-E31</f>
        <v>4572</v>
      </c>
      <c r="F32" s="143">
        <f t="shared" si="0"/>
        <v>4799</v>
      </c>
      <c r="G32" s="143">
        <f t="shared" si="0"/>
        <v>4914</v>
      </c>
      <c r="H32" s="143">
        <f t="shared" si="0"/>
        <v>11656</v>
      </c>
      <c r="I32" s="143">
        <f t="shared" si="0"/>
        <v>12023</v>
      </c>
      <c r="J32" s="143">
        <f t="shared" si="0"/>
        <v>12599</v>
      </c>
      <c r="K32" s="143">
        <f t="shared" si="0"/>
        <v>13070</v>
      </c>
      <c r="L32" s="143">
        <f t="shared" si="0"/>
        <v>19358</v>
      </c>
      <c r="M32" s="143">
        <f t="shared" si="0"/>
        <v>21477</v>
      </c>
    </row>
    <row r="33" spans="2:15" ht="12" customHeight="1" thickTop="1" x14ac:dyDescent="0.45">
      <c r="B33" s="132"/>
      <c r="C33" s="138"/>
      <c r="D33" s="141"/>
      <c r="E33" s="141"/>
      <c r="F33" s="141"/>
      <c r="G33" s="141"/>
      <c r="H33" s="141"/>
      <c r="I33" s="141"/>
      <c r="J33" s="141"/>
      <c r="K33" s="141"/>
      <c r="L33" s="141"/>
      <c r="M33" s="141"/>
    </row>
    <row r="34" spans="2:15" ht="12" customHeight="1" x14ac:dyDescent="0.45">
      <c r="B34" s="132" t="s">
        <v>289</v>
      </c>
      <c r="C34" s="132"/>
      <c r="D34" s="145">
        <v>39</v>
      </c>
      <c r="E34" s="145">
        <v>63</v>
      </c>
      <c r="F34" s="145">
        <v>135</v>
      </c>
      <c r="G34" s="145">
        <v>424</v>
      </c>
      <c r="H34" s="145">
        <v>95</v>
      </c>
      <c r="I34" s="145">
        <v>113</v>
      </c>
      <c r="J34" s="145">
        <v>247</v>
      </c>
      <c r="K34" s="145">
        <v>295</v>
      </c>
      <c r="L34" s="145">
        <v>190</v>
      </c>
      <c r="M34" s="145">
        <v>218</v>
      </c>
      <c r="O34" s="140"/>
    </row>
    <row r="35" spans="2:15" ht="12" customHeight="1" x14ac:dyDescent="0.45">
      <c r="B35" s="132" t="s">
        <v>17</v>
      </c>
      <c r="C35" s="138"/>
      <c r="D35" s="145">
        <v>1366</v>
      </c>
      <c r="E35" s="145">
        <v>1451</v>
      </c>
      <c r="F35" s="145">
        <v>1161</v>
      </c>
      <c r="G35" s="145">
        <v>1188</v>
      </c>
      <c r="H35" s="145">
        <v>1323</v>
      </c>
      <c r="I35" s="145">
        <v>806</v>
      </c>
      <c r="J35" s="145">
        <v>797</v>
      </c>
      <c r="K35" s="145">
        <v>1433</v>
      </c>
      <c r="L35" s="145">
        <v>871</v>
      </c>
      <c r="M35" s="145">
        <v>969</v>
      </c>
      <c r="O35" s="140"/>
    </row>
    <row r="36" spans="2:15" ht="12" customHeight="1" x14ac:dyDescent="0.45">
      <c r="C36" s="140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O36" s="140"/>
    </row>
    <row r="37" spans="2:15" ht="12" customHeight="1" x14ac:dyDescent="0.45">
      <c r="B37" s="132" t="s">
        <v>297</v>
      </c>
      <c r="C37" s="140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O37" s="140"/>
    </row>
    <row r="38" spans="2:15" ht="12" customHeight="1" x14ac:dyDescent="0.45">
      <c r="B38" s="40" t="s">
        <v>290</v>
      </c>
      <c r="C38" s="140"/>
      <c r="D38" s="146">
        <v>1629</v>
      </c>
      <c r="E38" s="146">
        <v>1453</v>
      </c>
      <c r="F38" s="146">
        <v>1448</v>
      </c>
      <c r="G38" s="146">
        <v>1609</v>
      </c>
      <c r="H38" s="146">
        <v>1712</v>
      </c>
      <c r="I38" s="146">
        <v>2249</v>
      </c>
      <c r="J38" s="146">
        <v>2267</v>
      </c>
      <c r="K38" s="146">
        <v>2702</v>
      </c>
      <c r="L38" s="146">
        <v>2769</v>
      </c>
      <c r="M38" s="146">
        <v>3600</v>
      </c>
      <c r="O38" s="140"/>
    </row>
    <row r="39" spans="2:15" ht="12" customHeight="1" x14ac:dyDescent="0.45">
      <c r="B39" s="40" t="s">
        <v>298</v>
      </c>
      <c r="D39" s="146">
        <v>592</v>
      </c>
      <c r="E39" s="146">
        <v>592</v>
      </c>
      <c r="F39" s="146">
        <v>648</v>
      </c>
      <c r="G39" s="146">
        <v>681</v>
      </c>
      <c r="H39" s="146">
        <v>922</v>
      </c>
      <c r="I39" s="146">
        <v>761</v>
      </c>
      <c r="J39" s="146">
        <v>835</v>
      </c>
      <c r="K39" s="146">
        <v>798</v>
      </c>
      <c r="L39" s="146">
        <v>897</v>
      </c>
      <c r="M39" s="146">
        <v>870</v>
      </c>
      <c r="O39" s="140"/>
    </row>
    <row r="40" spans="2:15" ht="12" customHeight="1" x14ac:dyDescent="0.45">
      <c r="B40" s="40" t="s">
        <v>299</v>
      </c>
      <c r="C40" s="140"/>
      <c r="D40" s="146">
        <v>-6</v>
      </c>
      <c r="E40" s="146">
        <v>-7</v>
      </c>
      <c r="F40" s="146">
        <v>-13</v>
      </c>
      <c r="G40" s="146">
        <v>-7</v>
      </c>
      <c r="H40" s="146">
        <v>-15</v>
      </c>
      <c r="I40" s="146">
        <v>-38</v>
      </c>
      <c r="J40" s="146">
        <v>-39</v>
      </c>
      <c r="K40" s="146">
        <v>-40</v>
      </c>
      <c r="L40" s="146">
        <v>-41</v>
      </c>
      <c r="M40" s="146">
        <v>-64</v>
      </c>
      <c r="O40" s="140"/>
    </row>
    <row r="41" spans="2:15" ht="12" customHeight="1" x14ac:dyDescent="0.45">
      <c r="B41" s="40" t="s">
        <v>291</v>
      </c>
      <c r="D41" s="146">
        <v>501</v>
      </c>
      <c r="E41" s="146">
        <v>575</v>
      </c>
      <c r="F41" s="146">
        <v>1238</v>
      </c>
      <c r="G41" s="146">
        <v>1034</v>
      </c>
      <c r="H41" s="146">
        <v>1621</v>
      </c>
      <c r="I41" s="146">
        <v>3075</v>
      </c>
      <c r="J41" s="146">
        <v>2600</v>
      </c>
      <c r="K41" s="146">
        <v>2797</v>
      </c>
      <c r="L41" s="146">
        <v>2454</v>
      </c>
      <c r="M41" s="146">
        <v>2818</v>
      </c>
      <c r="O41" s="140"/>
    </row>
    <row r="42" spans="2:15" ht="12" customHeight="1" x14ac:dyDescent="0.45">
      <c r="B42" s="40" t="s">
        <v>292</v>
      </c>
      <c r="D42" s="146">
        <v>241</v>
      </c>
      <c r="E42" s="146">
        <v>428</v>
      </c>
      <c r="F42" s="146">
        <v>333</v>
      </c>
      <c r="G42" s="146">
        <v>108</v>
      </c>
      <c r="H42" s="146">
        <v>133</v>
      </c>
      <c r="I42" s="146">
        <v>207</v>
      </c>
      <c r="J42" s="146">
        <v>235</v>
      </c>
      <c r="K42" s="146">
        <v>235</v>
      </c>
      <c r="L42" s="146">
        <v>591</v>
      </c>
      <c r="M42" s="146">
        <v>737</v>
      </c>
    </row>
    <row r="43" spans="2:15" ht="12" customHeight="1" x14ac:dyDescent="0.45">
      <c r="B43" s="40" t="s">
        <v>293</v>
      </c>
      <c r="C43" s="140"/>
      <c r="D43" s="141">
        <v>864</v>
      </c>
      <c r="E43" s="141">
        <v>417</v>
      </c>
      <c r="F43" s="141">
        <v>698</v>
      </c>
      <c r="G43" s="141">
        <v>925</v>
      </c>
      <c r="H43" s="141">
        <v>1010</v>
      </c>
      <c r="I43" s="141">
        <v>983</v>
      </c>
      <c r="J43" s="141">
        <v>1495</v>
      </c>
      <c r="K43" s="141">
        <v>1433</v>
      </c>
      <c r="L43" s="141">
        <v>749</v>
      </c>
      <c r="M43" s="141">
        <v>1143</v>
      </c>
      <c r="O43" s="140"/>
    </row>
    <row r="44" spans="2:15" ht="12" customHeight="1" thickBot="1" x14ac:dyDescent="0.5">
      <c r="B44" s="133" t="s">
        <v>166</v>
      </c>
      <c r="C44" s="142"/>
      <c r="D44" s="143">
        <v>9895</v>
      </c>
      <c r="E44" s="143">
        <v>9551</v>
      </c>
      <c r="F44" s="143">
        <v>10461</v>
      </c>
      <c r="G44" s="143">
        <v>10881</v>
      </c>
      <c r="H44" s="143">
        <v>18473</v>
      </c>
      <c r="I44" s="143">
        <v>20218</v>
      </c>
      <c r="J44" s="143">
        <v>21075</v>
      </c>
      <c r="K44" s="143">
        <v>22762</v>
      </c>
      <c r="L44" s="143">
        <v>27879</v>
      </c>
      <c r="M44" s="143">
        <v>31831</v>
      </c>
      <c r="O44" s="140"/>
    </row>
    <row r="45" spans="2:15" ht="12" customHeight="1" thickTop="1" x14ac:dyDescent="0.4"/>
  </sheetData>
  <mergeCells count="1">
    <mergeCell ref="B2:M2"/>
  </mergeCells>
  <pageMargins left="0.7" right="0.7" top="0.48" bottom="0.46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EC37-755D-4206-BED3-715811243E6B}">
  <dimension ref="B2:K64"/>
  <sheetViews>
    <sheetView showGridLines="0" topLeftCell="A70" workbookViewId="0">
      <selection activeCell="F65" sqref="F65"/>
    </sheetView>
  </sheetViews>
  <sheetFormatPr defaultRowHeight="12" customHeight="1" x14ac:dyDescent="0.4"/>
  <cols>
    <col min="1" max="1" width="1.76171875" style="40" customWidth="1"/>
    <col min="2" max="5" width="8.76171875" style="40"/>
    <col min="6" max="6" width="9.1875" style="40" customWidth="1"/>
    <col min="7" max="16384" width="8.76171875" style="40"/>
  </cols>
  <sheetData>
    <row r="2" spans="2:11" ht="12" customHeight="1" x14ac:dyDescent="0.4">
      <c r="B2" s="135" t="s">
        <v>300</v>
      </c>
      <c r="C2" s="135"/>
      <c r="D2" s="135"/>
      <c r="E2" s="136">
        <f>'Raw Financial '!H3</f>
        <v>43921</v>
      </c>
      <c r="F2" s="136">
        <f>'Raw Financial '!I3</f>
        <v>44286</v>
      </c>
      <c r="G2" s="136">
        <f>'Raw Financial '!J3</f>
        <v>44651</v>
      </c>
      <c r="H2" s="136">
        <f>'Raw Financial '!K3</f>
        <v>45016</v>
      </c>
      <c r="I2" s="136">
        <f>'Raw Financial '!L3</f>
        <v>45382</v>
      </c>
      <c r="J2" s="136">
        <f>'Raw Financial '!M3</f>
        <v>45747</v>
      </c>
    </row>
    <row r="3" spans="2:11" ht="3.3" customHeight="1" x14ac:dyDescent="0.4"/>
    <row r="4" spans="2:11" ht="12" customHeight="1" x14ac:dyDescent="0.4">
      <c r="B4" s="132" t="s">
        <v>301</v>
      </c>
    </row>
    <row r="5" spans="2:11" ht="4.8" customHeight="1" x14ac:dyDescent="0.4"/>
    <row r="6" spans="2:11" ht="12" customHeight="1" x14ac:dyDescent="0.4">
      <c r="B6" s="40" t="str">
        <f>'Raw Financial '!B38</f>
        <v>Inventories</v>
      </c>
      <c r="E6" s="150">
        <f>'Raw Financial '!H38</f>
        <v>1712</v>
      </c>
      <c r="F6" s="150">
        <f>'Raw Financial '!I38</f>
        <v>2249</v>
      </c>
      <c r="G6" s="150">
        <f>'Raw Financial '!J38</f>
        <v>2267</v>
      </c>
      <c r="H6" s="150">
        <f>'Raw Financial '!K38</f>
        <v>2702</v>
      </c>
      <c r="I6" s="150">
        <f>'Raw Financial '!L38</f>
        <v>2769</v>
      </c>
      <c r="J6" s="150">
        <f>'Raw Financial '!M38</f>
        <v>3600</v>
      </c>
    </row>
    <row r="7" spans="2:11" ht="12" customHeight="1" x14ac:dyDescent="0.4">
      <c r="B7" s="40" t="str">
        <f>'Raw Financial '!B39</f>
        <v>Trade receivables -</v>
      </c>
      <c r="E7" s="150">
        <f>'Raw Financial '!H39</f>
        <v>922</v>
      </c>
      <c r="F7" s="150">
        <f>'Raw Financial '!I39</f>
        <v>761</v>
      </c>
      <c r="G7" s="150">
        <f>'Raw Financial '!J39</f>
        <v>835</v>
      </c>
      <c r="H7" s="150">
        <f>'Raw Financial '!K39</f>
        <v>798</v>
      </c>
      <c r="I7" s="150">
        <f>'Raw Financial '!L39</f>
        <v>897</v>
      </c>
      <c r="J7" s="150">
        <f>'Raw Financial '!M39</f>
        <v>870</v>
      </c>
    </row>
    <row r="8" spans="2:11" ht="12" customHeight="1" x14ac:dyDescent="0.4">
      <c r="B8" s="40" t="str">
        <f>'Raw Financial '!B42</f>
        <v>Loans n Advances</v>
      </c>
      <c r="E8" s="150">
        <f>'Raw Financial '!D42</f>
        <v>241</v>
      </c>
      <c r="F8" s="150">
        <f>'Raw Financial '!E42</f>
        <v>428</v>
      </c>
      <c r="G8" s="150">
        <f>'Raw Financial '!F42</f>
        <v>333</v>
      </c>
      <c r="H8" s="150">
        <f>'Raw Financial '!G42</f>
        <v>108</v>
      </c>
      <c r="I8" s="150">
        <f>'Raw Financial '!H42</f>
        <v>133</v>
      </c>
      <c r="J8" s="150">
        <f>'Raw Financial '!I42</f>
        <v>207</v>
      </c>
    </row>
    <row r="9" spans="2:11" ht="12" customHeight="1" x14ac:dyDescent="0.4">
      <c r="B9" s="40" t="str">
        <f>'Raw Financial '!B43</f>
        <v>Other asset items</v>
      </c>
      <c r="E9" s="150">
        <f>'Raw Financial '!H43</f>
        <v>1010</v>
      </c>
      <c r="F9" s="150">
        <f>'Raw Financial '!I43</f>
        <v>983</v>
      </c>
      <c r="G9" s="150">
        <f>'Raw Financial '!J43</f>
        <v>1495</v>
      </c>
      <c r="H9" s="150">
        <f>'Raw Financial '!K43</f>
        <v>1433</v>
      </c>
      <c r="I9" s="150">
        <f>'Raw Financial '!L43</f>
        <v>749</v>
      </c>
      <c r="J9" s="150">
        <f>'Raw Financial '!M43</f>
        <v>1143</v>
      </c>
    </row>
    <row r="10" spans="2:11" ht="12" customHeight="1" x14ac:dyDescent="0.4">
      <c r="B10" s="151" t="s">
        <v>304</v>
      </c>
      <c r="C10" s="151"/>
      <c r="D10" s="151"/>
      <c r="E10" s="152">
        <f>SUM(E6:E9)</f>
        <v>3885</v>
      </c>
      <c r="F10" s="152">
        <f t="shared" ref="F10:J10" si="0">SUM(F6:F9)</f>
        <v>4421</v>
      </c>
      <c r="G10" s="152">
        <f t="shared" si="0"/>
        <v>4930</v>
      </c>
      <c r="H10" s="152">
        <f t="shared" si="0"/>
        <v>5041</v>
      </c>
      <c r="I10" s="152">
        <f t="shared" si="0"/>
        <v>4548</v>
      </c>
      <c r="J10" s="152">
        <f t="shared" si="0"/>
        <v>5820</v>
      </c>
    </row>
    <row r="12" spans="2:11" ht="12" customHeight="1" x14ac:dyDescent="0.4">
      <c r="B12" s="132" t="s">
        <v>302</v>
      </c>
    </row>
    <row r="13" spans="2:11" ht="2.7" customHeight="1" x14ac:dyDescent="0.4"/>
    <row r="14" spans="2:11" ht="12" customHeight="1" x14ac:dyDescent="0.4">
      <c r="B14" s="40" t="str">
        <f>'Raw Financial '!B14</f>
        <v>Trade Payables</v>
      </c>
      <c r="E14" s="150">
        <f>'Raw Financial '!H14</f>
        <v>944</v>
      </c>
      <c r="F14" s="150">
        <f>'Raw Financial '!I14</f>
        <v>1625</v>
      </c>
      <c r="G14" s="150">
        <f>'Raw Financial '!J14</f>
        <v>1916</v>
      </c>
      <c r="H14" s="150">
        <f>'Raw Financial '!K14</f>
        <v>2348</v>
      </c>
      <c r="I14" s="150">
        <f>'Raw Financial '!L14</f>
        <v>2707</v>
      </c>
      <c r="J14" s="150">
        <f>'Raw Financial '!M14</f>
        <v>3508</v>
      </c>
    </row>
    <row r="15" spans="2:11" ht="12" customHeight="1" x14ac:dyDescent="0.4">
      <c r="B15" s="40" t="str">
        <f>'Raw Financial '!B15</f>
        <v>Advance from Customers</v>
      </c>
      <c r="E15" s="150">
        <f>'Raw Financial '!H15</f>
        <v>13</v>
      </c>
      <c r="F15" s="150">
        <f>'Raw Financial '!I15</f>
        <v>41</v>
      </c>
      <c r="G15" s="150">
        <f>'Raw Financial '!J15</f>
        <v>44</v>
      </c>
      <c r="H15" s="150">
        <f>'Raw Financial '!K15</f>
        <v>52</v>
      </c>
      <c r="I15" s="150">
        <f>'Raw Financial '!L15</f>
        <v>64</v>
      </c>
      <c r="J15" s="150">
        <f>'Raw Financial '!M15</f>
        <v>65</v>
      </c>
    </row>
    <row r="16" spans="2:11" ht="12" customHeight="1" x14ac:dyDescent="0.4">
      <c r="B16" s="40" t="str">
        <f>'Raw Financial '!B16</f>
        <v>Other liability items</v>
      </c>
      <c r="E16" s="150">
        <f>'Raw Financial '!H16</f>
        <v>1022</v>
      </c>
      <c r="F16" s="150">
        <f>'Raw Financial '!I16</f>
        <v>1291</v>
      </c>
      <c r="G16" s="150">
        <f>'Raw Financial '!J16</f>
        <v>1409</v>
      </c>
      <c r="H16" s="150">
        <f>'Raw Financial '!K16</f>
        <v>1636</v>
      </c>
      <c r="I16" s="150">
        <f>'Raw Financial '!L16</f>
        <v>4195</v>
      </c>
      <c r="J16" s="150">
        <f>'Raw Financial '!M16</f>
        <v>4474</v>
      </c>
      <c r="K16" s="153"/>
    </row>
    <row r="17" spans="2:11" ht="12" customHeight="1" x14ac:dyDescent="0.4">
      <c r="B17" s="151" t="s">
        <v>303</v>
      </c>
      <c r="C17" s="151"/>
      <c r="D17" s="151"/>
      <c r="E17" s="151">
        <f>SUM(E14:E16)</f>
        <v>1979</v>
      </c>
      <c r="F17" s="152">
        <f t="shared" ref="F17:J17" si="1">SUM(F14:F16)</f>
        <v>2957</v>
      </c>
      <c r="G17" s="152">
        <f t="shared" si="1"/>
        <v>3369</v>
      </c>
      <c r="H17" s="152">
        <f t="shared" si="1"/>
        <v>4036</v>
      </c>
      <c r="I17" s="152">
        <f t="shared" si="1"/>
        <v>6966</v>
      </c>
      <c r="J17" s="152">
        <f t="shared" si="1"/>
        <v>8047</v>
      </c>
      <c r="K17" s="154"/>
    </row>
    <row r="18" spans="2:11" ht="12" customHeight="1" x14ac:dyDescent="0.4">
      <c r="E18" s="150"/>
      <c r="F18" s="150"/>
      <c r="G18" s="150"/>
      <c r="H18" s="150"/>
      <c r="I18" s="150"/>
      <c r="J18" s="150"/>
    </row>
    <row r="19" spans="2:11" ht="12" customHeight="1" x14ac:dyDescent="0.4">
      <c r="B19" s="155" t="s">
        <v>305</v>
      </c>
      <c r="C19" s="155"/>
      <c r="D19" s="155"/>
      <c r="E19" s="156">
        <f>E10-E17</f>
        <v>1906</v>
      </c>
      <c r="F19" s="156">
        <f>F10-F17</f>
        <v>1464</v>
      </c>
      <c r="G19" s="156">
        <f t="shared" ref="F19:J19" si="2">G10-G17</f>
        <v>1561</v>
      </c>
      <c r="H19" s="156">
        <f t="shared" si="2"/>
        <v>1005</v>
      </c>
      <c r="I19" s="156">
        <f t="shared" si="2"/>
        <v>-2418</v>
      </c>
      <c r="J19" s="156">
        <f t="shared" si="2"/>
        <v>-2227</v>
      </c>
    </row>
    <row r="20" spans="2:11" ht="12" customHeight="1" x14ac:dyDescent="0.4">
      <c r="E20" s="150"/>
      <c r="F20" s="150"/>
      <c r="G20" s="150"/>
      <c r="H20" s="150"/>
      <c r="I20" s="150"/>
      <c r="J20" s="150"/>
    </row>
    <row r="21" spans="2:11" ht="12" customHeight="1" x14ac:dyDescent="0.4">
      <c r="B21" s="132" t="s">
        <v>306</v>
      </c>
      <c r="E21" s="150"/>
      <c r="F21" s="150"/>
      <c r="G21" s="150"/>
      <c r="H21" s="150"/>
      <c r="I21" s="150"/>
      <c r="J21" s="150"/>
    </row>
    <row r="22" spans="2:11" ht="12" customHeight="1" x14ac:dyDescent="0.4">
      <c r="B22" s="40" t="str">
        <f>'Raw Financial '!B20</f>
        <v>Land</v>
      </c>
      <c r="E22" s="150">
        <f>'Raw Financial '!H20</f>
        <v>150</v>
      </c>
      <c r="F22" s="150">
        <f>'Raw Financial '!I20</f>
        <v>146</v>
      </c>
      <c r="G22" s="150">
        <f>'Raw Financial '!J20</f>
        <v>168</v>
      </c>
      <c r="H22" s="150">
        <f>'Raw Financial '!K20</f>
        <v>172</v>
      </c>
      <c r="I22" s="150">
        <f>'Raw Financial '!L20</f>
        <v>204</v>
      </c>
      <c r="J22" s="150">
        <f>'Raw Financial '!M20</f>
        <v>192</v>
      </c>
    </row>
    <row r="23" spans="2:11" ht="12" customHeight="1" x14ac:dyDescent="0.4">
      <c r="B23" s="40" t="str">
        <f>'Raw Financial '!B21</f>
        <v>Building</v>
      </c>
      <c r="E23" s="150">
        <f>'Raw Financial '!H21</f>
        <v>528</v>
      </c>
      <c r="F23" s="150">
        <f>'Raw Financial '!I21</f>
        <v>640</v>
      </c>
      <c r="G23" s="150">
        <f>'Raw Financial '!J21</f>
        <v>714</v>
      </c>
      <c r="H23" s="150">
        <f>'Raw Financial '!K21</f>
        <v>728</v>
      </c>
      <c r="I23" s="150">
        <f>'Raw Financial '!L21</f>
        <v>963</v>
      </c>
      <c r="J23" s="150">
        <f>'Raw Financial '!M21</f>
        <v>1027</v>
      </c>
    </row>
    <row r="24" spans="2:11" ht="12" customHeight="1" x14ac:dyDescent="0.4">
      <c r="B24" s="40" t="str">
        <f>'Raw Financial '!B22</f>
        <v>Estates</v>
      </c>
      <c r="E24" s="150">
        <f>'Raw Financial '!H22</f>
        <v>0</v>
      </c>
      <c r="F24" s="150">
        <f>'Raw Financial '!I22</f>
        <v>0</v>
      </c>
      <c r="G24" s="150">
        <f>'Raw Financial '!J22</f>
        <v>0</v>
      </c>
      <c r="H24" s="150">
        <f>'Raw Financial '!K22</f>
        <v>0</v>
      </c>
      <c r="I24" s="150">
        <f>'Raw Financial '!L22</f>
        <v>0</v>
      </c>
      <c r="J24" s="150">
        <f>'Raw Financial '!M22</f>
        <v>0</v>
      </c>
    </row>
    <row r="25" spans="2:11" ht="12" customHeight="1" x14ac:dyDescent="0.4">
      <c r="B25" s="40" t="str">
        <f>'Raw Financial '!B23</f>
        <v>Plant Machinery</v>
      </c>
      <c r="E25" s="150">
        <f>'Raw Financial '!H23</f>
        <v>1956</v>
      </c>
      <c r="F25" s="150">
        <f>'Raw Financial '!I23</f>
        <v>2054</v>
      </c>
      <c r="G25" s="150">
        <f>'Raw Financial '!J23</f>
        <v>2273</v>
      </c>
      <c r="H25" s="150">
        <f>'Raw Financial '!K23</f>
        <v>2442</v>
      </c>
      <c r="I25" s="150">
        <f>'Raw Financial '!L23</f>
        <v>2811</v>
      </c>
      <c r="J25" s="150">
        <f>'Raw Financial '!M23</f>
        <v>2785</v>
      </c>
    </row>
    <row r="26" spans="2:11" ht="12" customHeight="1" x14ac:dyDescent="0.4">
      <c r="B26" s="40" t="str">
        <f>'Raw Financial '!B24</f>
        <v>Equipments</v>
      </c>
      <c r="E26" s="150">
        <f>'Raw Financial '!H24</f>
        <v>8</v>
      </c>
      <c r="F26" s="150">
        <f>'Raw Financial '!I24</f>
        <v>10</v>
      </c>
      <c r="G26" s="150">
        <f>'Raw Financial '!J24</f>
        <v>9</v>
      </c>
      <c r="H26" s="150">
        <f>'Raw Financial '!K24</f>
        <v>7</v>
      </c>
      <c r="I26" s="150">
        <f>'Raw Financial '!L24</f>
        <v>0</v>
      </c>
      <c r="J26" s="150">
        <f>'Raw Financial '!M24</f>
        <v>0</v>
      </c>
    </row>
    <row r="27" spans="2:11" ht="12" customHeight="1" x14ac:dyDescent="0.4">
      <c r="B27" s="40" t="str">
        <f>'Raw Financial '!B25</f>
        <v>Furniture n fittings</v>
      </c>
      <c r="E27" s="150">
        <f>'Raw Financial '!H25</f>
        <v>217</v>
      </c>
      <c r="F27" s="150">
        <f>'Raw Financial '!I25</f>
        <v>229</v>
      </c>
      <c r="G27" s="150">
        <f>'Raw Financial '!J25</f>
        <v>229</v>
      </c>
      <c r="H27" s="150">
        <f>'Raw Financial '!K25</f>
        <v>246</v>
      </c>
      <c r="I27" s="150">
        <f>'Raw Financial '!L25</f>
        <v>264</v>
      </c>
      <c r="J27" s="150">
        <f>'Raw Financial '!M25</f>
        <v>295</v>
      </c>
    </row>
    <row r="28" spans="2:11" ht="12" customHeight="1" x14ac:dyDescent="0.4">
      <c r="B28" s="40" t="str">
        <f>'Raw Financial '!B26</f>
        <v>Vehicles</v>
      </c>
      <c r="E28" s="150">
        <f>'Raw Financial '!H26</f>
        <v>27</v>
      </c>
      <c r="F28" s="150">
        <f>'Raw Financial '!I26</f>
        <v>25</v>
      </c>
      <c r="G28" s="150">
        <f>'Raw Financial '!J26</f>
        <v>23</v>
      </c>
      <c r="H28" s="150">
        <f>'Raw Financial '!K26</f>
        <v>20</v>
      </c>
      <c r="I28" s="150">
        <f>'Raw Financial '!L26</f>
        <v>27</v>
      </c>
      <c r="J28" s="150">
        <f>'Raw Financial '!M26</f>
        <v>34</v>
      </c>
    </row>
    <row r="29" spans="2:11" ht="12" customHeight="1" x14ac:dyDescent="0.4">
      <c r="B29" s="40" t="str">
        <f>'Raw Financial '!B27</f>
        <v>Intangible Assets</v>
      </c>
      <c r="E29" s="150">
        <f>'Raw Financial '!H27</f>
        <v>10566</v>
      </c>
      <c r="F29" s="150">
        <f>'Raw Financial '!I27</f>
        <v>10812</v>
      </c>
      <c r="G29" s="150">
        <f>'Raw Financial '!J27</f>
        <v>11008</v>
      </c>
      <c r="H29" s="150">
        <f>'Raw Financial '!K27</f>
        <v>11405</v>
      </c>
      <c r="I29" s="150">
        <f>'Raw Financial '!L27</f>
        <v>17596</v>
      </c>
      <c r="J29" s="150">
        <f>'Raw Financial '!M27</f>
        <v>19944</v>
      </c>
    </row>
    <row r="30" spans="2:11" ht="12" customHeight="1" x14ac:dyDescent="0.4">
      <c r="B30" s="40" t="str">
        <f>'Raw Financial '!B28</f>
        <v>Other fixed assets</v>
      </c>
      <c r="E30" s="150">
        <f>'Raw Financial '!H28</f>
        <v>668</v>
      </c>
      <c r="F30" s="150">
        <f>'Raw Financial '!I28</f>
        <v>576</v>
      </c>
      <c r="G30" s="150">
        <f>'Raw Financial '!J28</f>
        <v>802</v>
      </c>
      <c r="H30" s="150">
        <f>'Raw Financial '!K28</f>
        <v>881</v>
      </c>
      <c r="I30" s="150">
        <f>'Raw Financial '!L28</f>
        <v>646</v>
      </c>
      <c r="J30" s="150">
        <f>'Raw Financial '!M28</f>
        <v>720</v>
      </c>
    </row>
    <row r="31" spans="2:11" ht="3.3" customHeight="1" x14ac:dyDescent="0.4">
      <c r="E31" s="150">
        <f>'Raw Financial '!H29</f>
        <v>0</v>
      </c>
      <c r="F31" s="150">
        <f>'Raw Financial '!I29</f>
        <v>0</v>
      </c>
      <c r="G31" s="150">
        <f>'Raw Financial '!J29</f>
        <v>0</v>
      </c>
      <c r="H31" s="150">
        <f>'Raw Financial '!K29</f>
        <v>0</v>
      </c>
      <c r="I31" s="150">
        <f>'Raw Financial '!L29</f>
        <v>0</v>
      </c>
      <c r="J31" s="150">
        <f>'Raw Financial '!M29</f>
        <v>0</v>
      </c>
    </row>
    <row r="32" spans="2:11" ht="12" customHeight="1" x14ac:dyDescent="0.4">
      <c r="B32" s="132" t="str">
        <f>'Raw Financial '!B30</f>
        <v>Gross Block</v>
      </c>
      <c r="C32" s="132"/>
      <c r="D32" s="132"/>
      <c r="E32" s="157">
        <f>SUM(E22:E30)</f>
        <v>14120</v>
      </c>
      <c r="F32" s="157">
        <f t="shared" ref="F32:J32" si="3">SUM(F22:F30)</f>
        <v>14492</v>
      </c>
      <c r="G32" s="157">
        <f t="shared" si="3"/>
        <v>15226</v>
      </c>
      <c r="H32" s="157">
        <f t="shared" si="3"/>
        <v>15901</v>
      </c>
      <c r="I32" s="157">
        <f t="shared" si="3"/>
        <v>22511</v>
      </c>
      <c r="J32" s="157">
        <f t="shared" si="3"/>
        <v>24997</v>
      </c>
    </row>
    <row r="33" spans="2:10" ht="12" customHeight="1" x14ac:dyDescent="0.4">
      <c r="B33" s="40" t="str">
        <f>'Raw Financial '!B31</f>
        <v>Accumulated Depreciation</v>
      </c>
      <c r="E33" s="150">
        <f>-'Raw Financial '!H31</f>
        <v>-2464</v>
      </c>
      <c r="F33" s="150">
        <f>-'Raw Financial '!I31</f>
        <v>-2469</v>
      </c>
      <c r="G33" s="150">
        <f>-'Raw Financial '!J31</f>
        <v>-2627</v>
      </c>
      <c r="H33" s="150">
        <f>-'Raw Financial '!K31</f>
        <v>-2830</v>
      </c>
      <c r="I33" s="150">
        <f>-'Raw Financial '!L31</f>
        <v>-3152</v>
      </c>
      <c r="J33" s="150">
        <f>-'Raw Financial '!M31</f>
        <v>-3520</v>
      </c>
    </row>
    <row r="34" spans="2:10" ht="1.5" customHeight="1" x14ac:dyDescent="0.4">
      <c r="E34" s="150"/>
      <c r="F34" s="150"/>
      <c r="G34" s="150"/>
      <c r="H34" s="150"/>
      <c r="I34" s="150"/>
      <c r="J34" s="150"/>
    </row>
    <row r="35" spans="2:10" ht="12" customHeight="1" x14ac:dyDescent="0.4">
      <c r="B35" s="155" t="s">
        <v>307</v>
      </c>
      <c r="C35" s="155"/>
      <c r="D35" s="155"/>
      <c r="E35" s="158">
        <f>E32-E33</f>
        <v>16584</v>
      </c>
      <c r="F35" s="158">
        <f t="shared" ref="F35:J35" si="4">F32-F33</f>
        <v>16961</v>
      </c>
      <c r="G35" s="158">
        <f t="shared" si="4"/>
        <v>17853</v>
      </c>
      <c r="H35" s="158">
        <f t="shared" si="4"/>
        <v>18731</v>
      </c>
      <c r="I35" s="158">
        <f t="shared" si="4"/>
        <v>25663</v>
      </c>
      <c r="J35" s="158">
        <f t="shared" si="4"/>
        <v>28517</v>
      </c>
    </row>
    <row r="37" spans="2:10" ht="12" customHeight="1" x14ac:dyDescent="0.4">
      <c r="B37" s="132" t="s">
        <v>308</v>
      </c>
      <c r="C37" s="132"/>
      <c r="D37" s="132"/>
      <c r="E37" s="159">
        <f>E19+E35</f>
        <v>18490</v>
      </c>
      <c r="F37" s="159">
        <f t="shared" ref="F37:J37" si="5">F19+F35</f>
        <v>18425</v>
      </c>
      <c r="G37" s="159">
        <f t="shared" si="5"/>
        <v>19414</v>
      </c>
      <c r="H37" s="159">
        <f t="shared" si="5"/>
        <v>19736</v>
      </c>
      <c r="I37" s="159">
        <f t="shared" si="5"/>
        <v>23245</v>
      </c>
      <c r="J37" s="159">
        <f t="shared" si="5"/>
        <v>26290</v>
      </c>
    </row>
    <row r="38" spans="2:10" ht="12" customHeight="1" x14ac:dyDescent="0.4">
      <c r="B38" s="40" t="s">
        <v>309</v>
      </c>
      <c r="E38" s="40">
        <f>'Historical Financial'!C18-'Historical Financial'!C21</f>
        <v>1192.7999999999995</v>
      </c>
      <c r="F38" s="40">
        <f>'Historical Financial'!D18-'Historical Financial'!D21</f>
        <v>1592.0099999999993</v>
      </c>
      <c r="G38" s="40">
        <f>'Historical Financial'!E18-'Historical Financial'!E21</f>
        <v>1580.5099999999998</v>
      </c>
      <c r="H38" s="40">
        <f>'Historical Financial'!F18-'Historical Financial'!F21</f>
        <v>1631.5699999999997</v>
      </c>
      <c r="I38" s="40">
        <f>'Historical Financial'!G18-'Historical Financial'!G21</f>
        <v>2328.6</v>
      </c>
      <c r="J38" s="40">
        <f>'Historical Financial'!H18-'Historical Financial'!H21</f>
        <v>2710.4800000000023</v>
      </c>
    </row>
    <row r="39" spans="2:10" ht="2.7" customHeight="1" x14ac:dyDescent="0.4"/>
    <row r="40" spans="2:10" ht="12" customHeight="1" thickBot="1" x14ac:dyDescent="0.45">
      <c r="B40" s="133" t="s">
        <v>310</v>
      </c>
      <c r="C40" s="133"/>
      <c r="D40" s="133"/>
      <c r="E40" s="160">
        <f>E38/E37</f>
        <v>6.4510546241211442E-2</v>
      </c>
      <c r="F40" s="160">
        <f t="shared" ref="F40:J40" si="6">F38/F37</f>
        <v>8.6404884667571194E-2</v>
      </c>
      <c r="G40" s="160">
        <f t="shared" si="6"/>
        <v>8.1410837539919637E-2</v>
      </c>
      <c r="H40" s="160">
        <f t="shared" si="6"/>
        <v>8.266974057559788E-2</v>
      </c>
      <c r="I40" s="160">
        <f t="shared" si="6"/>
        <v>0.1001763820176382</v>
      </c>
      <c r="J40" s="160">
        <f t="shared" si="6"/>
        <v>0.10309927729174599</v>
      </c>
    </row>
    <row r="41" spans="2:10" ht="12" customHeight="1" thickTop="1" x14ac:dyDescent="0.4"/>
    <row r="42" spans="2:10" ht="12" customHeight="1" x14ac:dyDescent="0.4">
      <c r="B42" s="161" t="s">
        <v>311</v>
      </c>
      <c r="C42" s="162"/>
      <c r="D42" s="162"/>
      <c r="E42" s="162">
        <f>E2</f>
        <v>43921</v>
      </c>
      <c r="F42" s="162">
        <f t="shared" ref="F42:J42" si="7">F2</f>
        <v>44286</v>
      </c>
      <c r="G42" s="162">
        <f t="shared" si="7"/>
        <v>44651</v>
      </c>
      <c r="H42" s="162">
        <f t="shared" si="7"/>
        <v>45016</v>
      </c>
      <c r="I42" s="162">
        <f t="shared" si="7"/>
        <v>45382</v>
      </c>
      <c r="J42" s="162">
        <f t="shared" si="7"/>
        <v>45747</v>
      </c>
    </row>
    <row r="44" spans="2:10" ht="12" customHeight="1" x14ac:dyDescent="0.4">
      <c r="B44" s="40" t="s">
        <v>312</v>
      </c>
      <c r="E44" s="150">
        <f>SUM('Cashflow Data '!G12:G13)</f>
        <v>-151</v>
      </c>
      <c r="F44" s="150">
        <f>SUM('Cashflow Data '!H12:H13)</f>
        <v>-179</v>
      </c>
      <c r="G44" s="150">
        <f>SUM('Cashflow Data '!I12:I13)</f>
        <v>-246</v>
      </c>
      <c r="H44" s="150">
        <f>SUM('Cashflow Data '!J12:J13)</f>
        <v>-140</v>
      </c>
      <c r="I44" s="150">
        <f>SUM('Cashflow Data '!K12:K13)</f>
        <v>-311</v>
      </c>
      <c r="J44" s="150">
        <f>SUM('Cashflow Data '!L12:L13)</f>
        <v>-415</v>
      </c>
    </row>
    <row r="45" spans="2:10" ht="12" customHeight="1" x14ac:dyDescent="0.4">
      <c r="B45" s="40" t="s">
        <v>313</v>
      </c>
      <c r="E45" s="150"/>
      <c r="F45" s="150">
        <f>F19-E19</f>
        <v>-442</v>
      </c>
      <c r="G45" s="150">
        <f>G19-F19</f>
        <v>97</v>
      </c>
      <c r="H45" s="150">
        <f>H19-G19</f>
        <v>-556</v>
      </c>
      <c r="I45" s="150">
        <f>I19-H19</f>
        <v>-3423</v>
      </c>
      <c r="J45" s="150">
        <f>J19-I19</f>
        <v>191</v>
      </c>
    </row>
    <row r="46" spans="2:10" ht="12" customHeight="1" x14ac:dyDescent="0.4">
      <c r="E46" s="150"/>
      <c r="F46" s="150"/>
      <c r="G46" s="150"/>
      <c r="H46" s="150"/>
      <c r="I46" s="150"/>
      <c r="J46" s="150"/>
    </row>
    <row r="47" spans="2:10" ht="12" customHeight="1" x14ac:dyDescent="0.4">
      <c r="B47" s="40" t="s">
        <v>314</v>
      </c>
      <c r="E47" s="150">
        <f>E38</f>
        <v>1192.7999999999995</v>
      </c>
      <c r="F47" s="150">
        <f t="shared" ref="F47:J47" si="8">F38</f>
        <v>1592.0099999999993</v>
      </c>
      <c r="G47" s="150">
        <f t="shared" si="8"/>
        <v>1580.5099999999998</v>
      </c>
      <c r="H47" s="150">
        <f t="shared" si="8"/>
        <v>1631.5699999999997</v>
      </c>
      <c r="I47" s="150">
        <f t="shared" si="8"/>
        <v>2328.6</v>
      </c>
      <c r="J47" s="150">
        <f t="shared" si="8"/>
        <v>2710.4800000000023</v>
      </c>
    </row>
    <row r="48" spans="2:10" ht="12" customHeight="1" x14ac:dyDescent="0.4">
      <c r="B48" s="40" t="s">
        <v>315</v>
      </c>
      <c r="E48" s="163">
        <v>0.3</v>
      </c>
      <c r="F48" s="163">
        <v>0.3</v>
      </c>
      <c r="G48" s="163">
        <v>0.3</v>
      </c>
      <c r="H48" s="163">
        <v>0.3</v>
      </c>
      <c r="I48" s="163">
        <v>0.3</v>
      </c>
      <c r="J48" s="163">
        <v>0.3</v>
      </c>
    </row>
    <row r="49" spans="2:10" ht="12" customHeight="1" x14ac:dyDescent="0.4">
      <c r="B49" s="40" t="s">
        <v>316</v>
      </c>
      <c r="E49" s="150">
        <f>E47*(1-E48)</f>
        <v>834.95999999999958</v>
      </c>
      <c r="F49" s="150">
        <f t="shared" ref="F49:J49" si="9">F47*(1-F48)</f>
        <v>1114.4069999999995</v>
      </c>
      <c r="G49" s="150">
        <f t="shared" si="9"/>
        <v>1106.3569999999997</v>
      </c>
      <c r="H49" s="150">
        <f t="shared" si="9"/>
        <v>1142.0989999999997</v>
      </c>
      <c r="I49" s="150">
        <f t="shared" si="9"/>
        <v>1630.0199999999998</v>
      </c>
      <c r="J49" s="150">
        <f t="shared" si="9"/>
        <v>1897.3360000000014</v>
      </c>
    </row>
    <row r="50" spans="2:10" ht="12" customHeight="1" x14ac:dyDescent="0.4">
      <c r="E50" s="150"/>
      <c r="F50" s="150"/>
      <c r="G50" s="150"/>
      <c r="H50" s="150"/>
      <c r="I50" s="150"/>
      <c r="J50" s="150"/>
    </row>
    <row r="51" spans="2:10" ht="12" customHeight="1" thickBot="1" x14ac:dyDescent="0.45">
      <c r="B51" s="164" t="s">
        <v>317</v>
      </c>
      <c r="C51" s="164"/>
      <c r="D51" s="164"/>
      <c r="E51" s="165"/>
      <c r="F51" s="165">
        <f>F44+F45</f>
        <v>-621</v>
      </c>
      <c r="G51" s="165">
        <f t="shared" ref="G51:J51" si="10">G44+G45</f>
        <v>-149</v>
      </c>
      <c r="H51" s="165">
        <f t="shared" si="10"/>
        <v>-696</v>
      </c>
      <c r="I51" s="165">
        <f t="shared" si="10"/>
        <v>-3734</v>
      </c>
      <c r="J51" s="165">
        <f t="shared" si="10"/>
        <v>-224</v>
      </c>
    </row>
    <row r="52" spans="2:10" ht="12" customHeight="1" thickTop="1" x14ac:dyDescent="0.4">
      <c r="B52" s="166" t="s">
        <v>318</v>
      </c>
      <c r="F52" s="167">
        <f>F51/F49</f>
        <v>-0.55724703811085208</v>
      </c>
      <c r="G52" s="167">
        <f t="shared" ref="G52:J52" si="11">G51/G49</f>
        <v>-0.13467623922477107</v>
      </c>
      <c r="H52" s="167">
        <f t="shared" si="11"/>
        <v>-0.60940426355333488</v>
      </c>
      <c r="I52" s="167">
        <f t="shared" si="11"/>
        <v>-2.2907694384117989</v>
      </c>
      <c r="J52" s="167">
        <f>J51/J49</f>
        <v>-0.11806026976771633</v>
      </c>
    </row>
    <row r="54" spans="2:10" ht="12" customHeight="1" x14ac:dyDescent="0.4">
      <c r="H54" s="168" t="s">
        <v>319</v>
      </c>
      <c r="I54" s="168"/>
      <c r="J54" s="169">
        <f>AVERAGE(F52:J52)</f>
        <v>-0.74203144981369473</v>
      </c>
    </row>
    <row r="55" spans="2:10" ht="12" customHeight="1" x14ac:dyDescent="0.4">
      <c r="H55" s="168" t="s">
        <v>320</v>
      </c>
      <c r="I55" s="168"/>
      <c r="J55" s="169">
        <f>MEDIAN(F52:J52)</f>
        <v>-0.55724703811085208</v>
      </c>
    </row>
    <row r="57" spans="2:10" ht="12" customHeight="1" x14ac:dyDescent="0.4">
      <c r="B57" s="135" t="s">
        <v>321</v>
      </c>
      <c r="C57" s="170"/>
      <c r="D57" s="170"/>
      <c r="E57" s="136">
        <f>E42</f>
        <v>43921</v>
      </c>
      <c r="F57" s="136">
        <f t="shared" ref="F57:J57" si="12">F42</f>
        <v>44286</v>
      </c>
      <c r="G57" s="136">
        <f t="shared" si="12"/>
        <v>44651</v>
      </c>
      <c r="H57" s="136">
        <f t="shared" si="12"/>
        <v>45016</v>
      </c>
      <c r="I57" s="136">
        <f t="shared" si="12"/>
        <v>45382</v>
      </c>
      <c r="J57" s="136">
        <f t="shared" si="12"/>
        <v>45747</v>
      </c>
    </row>
    <row r="59" spans="2:10" ht="12" customHeight="1" x14ac:dyDescent="0.4">
      <c r="B59" s="166" t="s">
        <v>318</v>
      </c>
      <c r="F59" s="171">
        <f t="shared" ref="F59:J59" si="13">F52</f>
        <v>-0.55724703811085208</v>
      </c>
      <c r="G59" s="171">
        <f t="shared" si="13"/>
        <v>-0.13467623922477107</v>
      </c>
      <c r="H59" s="171">
        <f t="shared" si="13"/>
        <v>-0.60940426355333488</v>
      </c>
      <c r="I59" s="171">
        <f t="shared" si="13"/>
        <v>-2.2907694384117989</v>
      </c>
      <c r="J59" s="171">
        <f t="shared" si="13"/>
        <v>-0.11806026976771633</v>
      </c>
    </row>
    <row r="60" spans="2:10" ht="12" customHeight="1" x14ac:dyDescent="0.4">
      <c r="B60" s="153" t="s">
        <v>310</v>
      </c>
      <c r="F60" s="172">
        <f>F40</f>
        <v>8.6404884667571194E-2</v>
      </c>
      <c r="G60" s="172">
        <f t="shared" ref="G60:J60" si="14">G40</f>
        <v>8.1410837539919637E-2</v>
      </c>
      <c r="H60" s="172">
        <f t="shared" si="14"/>
        <v>8.266974057559788E-2</v>
      </c>
      <c r="I60" s="172">
        <f t="shared" si="14"/>
        <v>0.1001763820176382</v>
      </c>
      <c r="J60" s="172">
        <f t="shared" si="14"/>
        <v>0.10309927729174599</v>
      </c>
    </row>
    <row r="61" spans="2:10" ht="12" customHeight="1" thickBot="1" x14ac:dyDescent="0.45">
      <c r="B61" s="164" t="s">
        <v>322</v>
      </c>
      <c r="C61" s="164"/>
      <c r="D61" s="164"/>
      <c r="E61" s="165"/>
      <c r="F61" s="173">
        <f>F59*F60</f>
        <v>-4.8148866059313823E-2</v>
      </c>
      <c r="G61" s="173">
        <f t="shared" ref="G61:J61" si="15">G59*G60</f>
        <v>-1.0964105432015189E-2</v>
      </c>
      <c r="H61" s="173">
        <f t="shared" si="15"/>
        <v>-5.0379292373617476E-2</v>
      </c>
      <c r="I61" s="173">
        <f t="shared" si="15"/>
        <v>-0.22948099437667091</v>
      </c>
      <c r="J61" s="173">
        <f t="shared" si="15"/>
        <v>-1.2171928489920122E-2</v>
      </c>
    </row>
    <row r="62" spans="2:10" ht="12" customHeight="1" thickTop="1" x14ac:dyDescent="0.4"/>
    <row r="63" spans="2:10" ht="12" customHeight="1" x14ac:dyDescent="0.4">
      <c r="H63" s="168" t="s">
        <v>319</v>
      </c>
      <c r="I63" s="168"/>
      <c r="J63" s="169">
        <f>AVERAGE(F61:J61)</f>
        <v>-7.0229037346307505E-2</v>
      </c>
    </row>
    <row r="64" spans="2:10" ht="12" customHeight="1" x14ac:dyDescent="0.4">
      <c r="H64" s="168" t="s">
        <v>320</v>
      </c>
      <c r="I64" s="168"/>
      <c r="J64" s="169">
        <f>MEDIAN(F61:J61)</f>
        <v>-4.8148866059313823E-2</v>
      </c>
    </row>
  </sheetData>
  <pageMargins left="0.7" right="0.7" top="0.38" bottom="0.28999999999999998" header="0.3" footer="0.3"/>
  <pageSetup orientation="portrait" r:id="rId1"/>
  <ignoredErrors>
    <ignoredError sqref="E44:J44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345E-56CE-4ED5-92DD-065BF76E920F}">
  <dimension ref="A1:J38"/>
  <sheetViews>
    <sheetView showGridLines="0" tabSelected="1" workbookViewId="0">
      <selection activeCell="F41" sqref="F41"/>
    </sheetView>
  </sheetViews>
  <sheetFormatPr defaultRowHeight="13.8" x14ac:dyDescent="0.45"/>
  <cols>
    <col min="1" max="1" width="1.76171875" customWidth="1"/>
    <col min="5" max="5" width="10.140625" bestFit="1" customWidth="1"/>
  </cols>
  <sheetData>
    <row r="1" spans="1:10" x14ac:dyDescent="0.45">
      <c r="A1" t="s">
        <v>323</v>
      </c>
    </row>
    <row r="2" spans="1:10" ht="14.1" x14ac:dyDescent="0.5">
      <c r="B2" s="174" t="s">
        <v>324</v>
      </c>
      <c r="C2" s="174"/>
      <c r="D2" s="174"/>
      <c r="E2" s="175">
        <f>'[1]Intrisic Growth'!I4</f>
        <v>45717</v>
      </c>
      <c r="F2" s="176">
        <f>E2+365</f>
        <v>46082</v>
      </c>
      <c r="G2" s="176">
        <f>F2+365</f>
        <v>46447</v>
      </c>
      <c r="H2" s="176">
        <f>G2+366</f>
        <v>46813</v>
      </c>
      <c r="I2" s="176">
        <f t="shared" ref="I2:J2" si="0">H2+365</f>
        <v>47178</v>
      </c>
      <c r="J2" s="176">
        <f t="shared" si="0"/>
        <v>47543</v>
      </c>
    </row>
    <row r="4" spans="1:10" x14ac:dyDescent="0.45">
      <c r="B4" t="s">
        <v>314</v>
      </c>
      <c r="E4" s="180">
        <f>'Internsic Growth'!J47</f>
        <v>2710.4800000000023</v>
      </c>
      <c r="F4" s="148">
        <f>E4*(1+$E$15)</f>
        <v>2579.9734615235534</v>
      </c>
      <c r="G4" s="148">
        <f t="shared" ref="G4:J4" si="1">F4*(1+$E$15)</f>
        <v>2455.7506648880717</v>
      </c>
      <c r="H4" s="148">
        <f t="shared" si="1"/>
        <v>2337.5090550493051</v>
      </c>
      <c r="I4" s="148">
        <f t="shared" si="1"/>
        <v>2224.9606446453031</v>
      </c>
      <c r="J4" s="148">
        <f t="shared" si="1"/>
        <v>2117.8313125790319</v>
      </c>
    </row>
    <row r="5" spans="1:10" x14ac:dyDescent="0.45">
      <c r="B5" t="s">
        <v>71</v>
      </c>
      <c r="E5" s="179">
        <v>0.25</v>
      </c>
      <c r="F5" s="118">
        <v>0.25</v>
      </c>
      <c r="G5" s="118">
        <v>0.25</v>
      </c>
      <c r="H5" s="118">
        <v>0.25</v>
      </c>
      <c r="I5" s="118">
        <v>0.25</v>
      </c>
      <c r="J5" s="118">
        <v>0.25</v>
      </c>
    </row>
    <row r="6" spans="1:10" x14ac:dyDescent="0.45">
      <c r="B6" t="s">
        <v>316</v>
      </c>
      <c r="E6" s="180">
        <f>E4*(1-E5)</f>
        <v>2032.8600000000017</v>
      </c>
      <c r="F6" s="148">
        <f t="shared" ref="F6:I6" si="2">F4*(1-F5)</f>
        <v>1934.9800961426649</v>
      </c>
      <c r="G6" s="148">
        <f t="shared" si="2"/>
        <v>1841.8129986660538</v>
      </c>
      <c r="H6" s="148">
        <f t="shared" si="2"/>
        <v>1753.1317912869788</v>
      </c>
      <c r="I6" s="148">
        <f t="shared" si="2"/>
        <v>1668.7204834839772</v>
      </c>
      <c r="J6" s="148">
        <f>J4*(1-J5)</f>
        <v>1588.3734844342739</v>
      </c>
    </row>
    <row r="7" spans="1:10" x14ac:dyDescent="0.45">
      <c r="B7" t="s">
        <v>325</v>
      </c>
      <c r="E7" s="51">
        <f>'Internsic Growth'!$J$55</f>
        <v>-0.55724703811085208</v>
      </c>
      <c r="F7" s="37">
        <f>'Internsic Growth'!$J$55</f>
        <v>-0.55724703811085208</v>
      </c>
      <c r="G7" s="37">
        <f>'Internsic Growth'!$J$55</f>
        <v>-0.55724703811085208</v>
      </c>
      <c r="H7" s="37">
        <f>'Internsic Growth'!$J$55</f>
        <v>-0.55724703811085208</v>
      </c>
      <c r="I7" s="37">
        <f>'Internsic Growth'!$J$55</f>
        <v>-0.55724703811085208</v>
      </c>
      <c r="J7" s="37">
        <f>'Internsic Growth'!$J$55</f>
        <v>-0.55724703811085208</v>
      </c>
    </row>
    <row r="8" spans="1:10" x14ac:dyDescent="0.45">
      <c r="B8" t="s">
        <v>326</v>
      </c>
      <c r="E8" s="180">
        <f>E6*(1-E7)</f>
        <v>3165.6652138940294</v>
      </c>
      <c r="F8" s="148">
        <f t="shared" ref="F8:J8" si="3">F6*(1-F7)</f>
        <v>3013.2420235216168</v>
      </c>
      <c r="G8" s="148">
        <f t="shared" si="3"/>
        <v>2868.1578369267791</v>
      </c>
      <c r="H8" s="148">
        <f t="shared" si="3"/>
        <v>2730.0592893996204</v>
      </c>
      <c r="I8" s="148">
        <f t="shared" si="3"/>
        <v>2598.6100303403327</v>
      </c>
      <c r="J8" s="148">
        <f t="shared" si="3"/>
        <v>2473.4899040490868</v>
      </c>
    </row>
    <row r="9" spans="1:10" x14ac:dyDescent="0.45">
      <c r="E9" s="48"/>
    </row>
    <row r="10" spans="1:10" x14ac:dyDescent="0.45">
      <c r="B10" t="s">
        <v>327</v>
      </c>
      <c r="E10" s="48"/>
      <c r="F10" s="104">
        <v>0.5</v>
      </c>
      <c r="G10">
        <f>F10+1</f>
        <v>1.5</v>
      </c>
      <c r="H10">
        <f t="shared" ref="H10:J10" si="4">G10+1</f>
        <v>2.5</v>
      </c>
      <c r="I10">
        <f t="shared" si="4"/>
        <v>3.5</v>
      </c>
      <c r="J10">
        <f t="shared" si="4"/>
        <v>4.5</v>
      </c>
    </row>
    <row r="11" spans="1:10" x14ac:dyDescent="0.45">
      <c r="E11" s="48"/>
    </row>
    <row r="12" spans="1:10" x14ac:dyDescent="0.45">
      <c r="B12" t="s">
        <v>328</v>
      </c>
      <c r="E12" s="48"/>
      <c r="F12" s="178">
        <f>1/(1+$E$17)^F10</f>
        <v>0.93933419310854627</v>
      </c>
      <c r="G12" s="178">
        <f>1/(1+$E$17)^G10</f>
        <v>0.8288203288996463</v>
      </c>
      <c r="H12" s="178">
        <f>1/(1+$E$17)^H10</f>
        <v>0.73130856157169288</v>
      </c>
      <c r="I12" s="178">
        <f>1/(1+$E$17)^I10</f>
        <v>0.64526917786642979</v>
      </c>
      <c r="J12" s="178">
        <f>1/(1+$E$17)^J10</f>
        <v>0.56935243723876405</v>
      </c>
    </row>
    <row r="13" spans="1:10" ht="14.4" thickBot="1" x14ac:dyDescent="0.55000000000000004">
      <c r="B13" s="131" t="s">
        <v>332</v>
      </c>
      <c r="C13" s="131"/>
      <c r="D13" s="131"/>
      <c r="E13" s="182"/>
      <c r="F13" s="183">
        <f>F8*F12</f>
        <v>2830.4412648054413</v>
      </c>
      <c r="G13" s="183">
        <f t="shared" ref="G13:J13" si="5">G8*G12</f>
        <v>2377.187521737751</v>
      </c>
      <c r="H13" s="183">
        <f t="shared" si="5"/>
        <v>1996.5157319362745</v>
      </c>
      <c r="I13" s="183">
        <f t="shared" si="5"/>
        <v>1676.8029578731646</v>
      </c>
      <c r="J13" s="183">
        <f t="shared" si="5"/>
        <v>1408.2875053558241</v>
      </c>
    </row>
    <row r="14" spans="1:10" ht="14.1" thickTop="1" x14ac:dyDescent="0.45"/>
    <row r="15" spans="1:10" x14ac:dyDescent="0.45">
      <c r="B15" s="48" t="s">
        <v>329</v>
      </c>
      <c r="C15" s="48"/>
      <c r="D15" s="48"/>
      <c r="E15" s="177">
        <f>'Internsic Growth'!J64</f>
        <v>-4.8148866059313823E-2</v>
      </c>
    </row>
    <row r="16" spans="1:10" x14ac:dyDescent="0.45">
      <c r="B16" s="48" t="s">
        <v>330</v>
      </c>
      <c r="C16" s="48"/>
      <c r="D16" s="48"/>
      <c r="E16" s="177">
        <v>7.0000000000000007E-2</v>
      </c>
    </row>
    <row r="17" spans="2:5" x14ac:dyDescent="0.45">
      <c r="B17" s="48" t="s">
        <v>331</v>
      </c>
      <c r="C17" s="48"/>
      <c r="D17" s="48"/>
      <c r="E17" s="177">
        <f>WACC!K39</f>
        <v>0.13333874707877866</v>
      </c>
    </row>
    <row r="19" spans="2:5" ht="14.1" x14ac:dyDescent="0.5">
      <c r="B19" s="174" t="s">
        <v>333</v>
      </c>
      <c r="C19" s="184"/>
      <c r="D19" s="184"/>
      <c r="E19" s="184"/>
    </row>
    <row r="21" spans="2:5" x14ac:dyDescent="0.45">
      <c r="B21" t="s">
        <v>334</v>
      </c>
      <c r="E21" s="148">
        <f>J8*(1+E16)</f>
        <v>2646.6341973325229</v>
      </c>
    </row>
    <row r="22" spans="2:5" x14ac:dyDescent="0.45">
      <c r="B22" t="s">
        <v>330</v>
      </c>
      <c r="E22" s="95">
        <f>E16</f>
        <v>7.0000000000000007E-2</v>
      </c>
    </row>
    <row r="23" spans="2:5" x14ac:dyDescent="0.45">
      <c r="B23" t="s">
        <v>267</v>
      </c>
      <c r="E23" s="95">
        <f>E17</f>
        <v>0.13333874707877866</v>
      </c>
    </row>
    <row r="24" spans="2:5" ht="14.1" thickBot="1" x14ac:dyDescent="0.5">
      <c r="B24" s="149" t="s">
        <v>335</v>
      </c>
      <c r="C24" s="149"/>
      <c r="D24" s="149"/>
      <c r="E24" s="181">
        <f>E21/(E23-E22)</f>
        <v>41785.389187454661</v>
      </c>
    </row>
    <row r="25" spans="2:5" ht="14.1" thickTop="1" x14ac:dyDescent="0.45"/>
    <row r="26" spans="2:5" ht="14.1" x14ac:dyDescent="0.5">
      <c r="B26" s="174" t="s">
        <v>336</v>
      </c>
      <c r="C26" s="184"/>
      <c r="D26" s="184"/>
      <c r="E26" s="184"/>
    </row>
    <row r="28" spans="2:5" x14ac:dyDescent="0.45">
      <c r="B28" t="s">
        <v>332</v>
      </c>
      <c r="E28" s="148">
        <f>SUM(F13:J13)</f>
        <v>10289.234981708454</v>
      </c>
    </row>
    <row r="29" spans="2:5" x14ac:dyDescent="0.45">
      <c r="B29" t="s">
        <v>337</v>
      </c>
      <c r="E29" s="148">
        <f>E24/(1+E23)^5</f>
        <v>22347.336430153027</v>
      </c>
    </row>
    <row r="30" spans="2:5" x14ac:dyDescent="0.45">
      <c r="B30" t="s">
        <v>338</v>
      </c>
      <c r="E30" s="148">
        <f>E28+E29</f>
        <v>32636.571411861481</v>
      </c>
    </row>
    <row r="31" spans="2:5" x14ac:dyDescent="0.45">
      <c r="B31" t="s">
        <v>339</v>
      </c>
      <c r="E31">
        <f>'Data Sheet'!K69</f>
        <v>2817.86</v>
      </c>
    </row>
    <row r="32" spans="2:5" x14ac:dyDescent="0.45">
      <c r="B32" t="s">
        <v>340</v>
      </c>
      <c r="E32">
        <f>SUM('Raw Financial '!M8:M9)</f>
        <v>1849</v>
      </c>
    </row>
    <row r="33" spans="2:5" x14ac:dyDescent="0.45">
      <c r="B33" t="s">
        <v>341</v>
      </c>
      <c r="E33" s="148">
        <f>E30+E31-E32</f>
        <v>33605.431411861478</v>
      </c>
    </row>
    <row r="34" spans="2:5" x14ac:dyDescent="0.45">
      <c r="B34" t="s">
        <v>342</v>
      </c>
      <c r="E34" s="185">
        <f>'Data Sheet'!B6</f>
        <v>98.946938775510205</v>
      </c>
    </row>
    <row r="35" spans="2:5" ht="14.1" thickBot="1" x14ac:dyDescent="0.5">
      <c r="B35" s="149" t="s">
        <v>343</v>
      </c>
      <c r="C35" s="149"/>
      <c r="D35" s="149"/>
      <c r="E35" s="181">
        <f>E33/E34</f>
        <v>339.63083474573313</v>
      </c>
    </row>
    <row r="36" spans="2:5" ht="14.1" thickTop="1" x14ac:dyDescent="0.45"/>
    <row r="37" spans="2:5" x14ac:dyDescent="0.45">
      <c r="B37" t="s">
        <v>344</v>
      </c>
      <c r="E37">
        <v>1050.2</v>
      </c>
    </row>
    <row r="38" spans="2:5" x14ac:dyDescent="0.45">
      <c r="B38" t="s">
        <v>345</v>
      </c>
      <c r="E38" s="186">
        <f>E37/E35-1</f>
        <v>2.0921809581460389</v>
      </c>
    </row>
  </sheetData>
  <pageMargins left="0.7" right="0.7" top="0.75" bottom="0.75" header="0.3" footer="0.3"/>
  <pageSetup orientation="portrait" r:id="rId1"/>
  <ignoredErrors>
    <ignoredError sqref="E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Financials&gt;&gt;&gt;</vt:lpstr>
      <vt:lpstr>Historical Financial</vt:lpstr>
      <vt:lpstr>Ratio Analysis</vt:lpstr>
      <vt:lpstr>Forcasting </vt:lpstr>
      <vt:lpstr>Comman Size </vt:lpstr>
      <vt:lpstr>Data Sheet</vt:lpstr>
      <vt:lpstr>Cashflow Data </vt:lpstr>
      <vt:lpstr>Companies Data </vt:lpstr>
      <vt:lpstr>DCF</vt:lpstr>
      <vt:lpstr>Beta</vt:lpstr>
      <vt:lpstr>Market Return</vt:lpstr>
      <vt:lpstr>WACC</vt:lpstr>
      <vt:lpstr>Raw Financial </vt:lpstr>
      <vt:lpstr>Internsic Growth</vt:lpstr>
      <vt:lpstr>DCF Model 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tripathi</dc:creator>
  <cp:lastModifiedBy>gaurav tripathi</cp:lastModifiedBy>
  <cp:lastPrinted>2026-03-22T15:08:18Z</cp:lastPrinted>
  <dcterms:created xsi:type="dcterms:W3CDTF">2026-03-09T14:21:15Z</dcterms:created>
  <dcterms:modified xsi:type="dcterms:W3CDTF">2026-03-22T15:26:07Z</dcterms:modified>
</cp:coreProperties>
</file>